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66925"/>
  <mc:AlternateContent xmlns:mc="http://schemas.openxmlformats.org/markup-compatibility/2006">
    <mc:Choice Requires="x15">
      <x15ac:absPath xmlns:x15ac="http://schemas.microsoft.com/office/spreadsheetml/2010/11/ac" url="\\usmnpvdi01.us.kworld.kpmg.com\Profiles_CW_VDI\skuderella\Appsense\Desktop\10466\"/>
    </mc:Choice>
  </mc:AlternateContent>
  <xr:revisionPtr revIDLastSave="0" documentId="13_ncr:1_{5822CBF9-9122-4D7B-AE96-EC46BC665201}" xr6:coauthVersionLast="47" xr6:coauthVersionMax="47" xr10:uidLastSave="{00000000-0000-0000-0000-000000000000}"/>
  <bookViews>
    <workbookView xWindow="-108" yWindow="-108" windowWidth="23256" windowHeight="13896" firstSheet="1" activeTab="2" xr2:uid="{00000000-000D-0000-FFFF-FFFF00000000}"/>
  </bookViews>
  <sheets>
    <sheet name="Overview" sheetId="8" r:id="rId1"/>
    <sheet name="Complexity Summary" sheetId="5" r:id="rId2"/>
    <sheet name="TaskList" sheetId="14" r:id="rId3"/>
    <sheet name="Extension_Config" sheetId="15" state="hidden" r:id="rId4"/>
    <sheet name="Assumptions" sheetId="7" r:id="rId5"/>
    <sheet name="Queries" sheetId="9" r:id="rId6"/>
    <sheet name="Rules" sheetId="4" r:id="rId7"/>
  </sheets>
  <definedNames>
    <definedName name="_xlnm._FilterDatabase" localSheetId="2" hidden="1">TaskList!$B$1:$Q$1</definedName>
    <definedName name="Environment_rediness_for_Dev_QA" localSheetId="6">'Complexity Summary'!$D$17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4" i="5"/>
  <c r="C7" i="5"/>
  <c r="E6" i="5" l="1"/>
  <c r="C6" i="5"/>
  <c r="E3" i="5" l="1"/>
  <c r="E4" i="5" l="1"/>
  <c r="K15" i="4" l="1"/>
  <c r="K16" i="4"/>
  <c r="K17" i="4"/>
  <c r="K18" i="4" l="1"/>
  <c r="E19" i="5"/>
  <c r="C19" i="5"/>
  <c r="E10" i="5" l="1"/>
  <c r="C10" i="5"/>
  <c r="E5" i="5"/>
  <c r="C5" i="5"/>
  <c r="E18" i="5" l="1"/>
  <c r="E17" i="5"/>
  <c r="E16" i="5"/>
  <c r="E15" i="5"/>
  <c r="E14" i="5"/>
  <c r="E13" i="5"/>
  <c r="E12" i="5"/>
  <c r="E11" i="5"/>
  <c r="E9" i="5"/>
  <c r="E8" i="5"/>
  <c r="E7" i="5"/>
  <c r="C18" i="5"/>
  <c r="C17" i="5"/>
  <c r="C16" i="5"/>
  <c r="C15" i="5"/>
  <c r="C14" i="5"/>
  <c r="C13" i="5"/>
  <c r="C12" i="5"/>
  <c r="C11" i="5"/>
  <c r="C9" i="5"/>
  <c r="C8" i="5"/>
  <c r="E20" i="5" l="1"/>
  <c r="D28" i="4"/>
  <c r="D9" i="4" l="1"/>
  <c r="D4" i="4"/>
  <c r="E22" i="5" l="1"/>
</calcChain>
</file>

<file path=xl/sharedStrings.xml><?xml version="1.0" encoding="utf-8"?>
<sst xmlns="http://schemas.openxmlformats.org/spreadsheetml/2006/main" count="313" uniqueCount="246">
  <si>
    <t>8000 - EXL/F&amp;A Reports automation 2 (Advisory-17 Reports)</t>
  </si>
  <si>
    <t>KPMG Proposed Start Date:</t>
  </si>
  <si>
    <t>TBD</t>
  </si>
  <si>
    <t>KPMG Defined Deadline:</t>
  </si>
  <si>
    <t>Calculated Complexity:</t>
  </si>
  <si>
    <t>Complex</t>
  </si>
  <si>
    <t>SLA Duration:</t>
  </si>
  <si>
    <t>Calculated End Date:</t>
  </si>
  <si>
    <t>Scope of Services:</t>
  </si>
  <si>
    <t>Develop, Test, Debug, Fix, Deploy</t>
  </si>
  <si>
    <t>Dependencies:</t>
  </si>
  <si>
    <t>Business Shared Drive, Sharepoint, Microsoft Excel, Outlook, HANA</t>
  </si>
  <si>
    <t>Comments/Notes:</t>
  </si>
  <si>
    <t>S.No.</t>
  </si>
  <si>
    <t>Use Case Attribute</t>
  </si>
  <si>
    <t>Value</t>
  </si>
  <si>
    <t>Story Points</t>
  </si>
  <si>
    <t>Legends</t>
  </si>
  <si>
    <t>Input Needed</t>
  </si>
  <si>
    <t>25 to 32</t>
  </si>
  <si>
    <t>Computed Value</t>
  </si>
  <si>
    <t>Objects - Total Screens/UI</t>
  </si>
  <si>
    <t>1 to 8</t>
  </si>
  <si>
    <t>25 to 36</t>
  </si>
  <si>
    <t xml:space="preserve"> Query Weightage 1 to 15 </t>
  </si>
  <si>
    <t>71 to 80</t>
  </si>
  <si>
    <t>Process Design - Total Process Steps</t>
  </si>
  <si>
    <t>31 to 40</t>
  </si>
  <si>
    <t>7 to 12  Excel Sheets</t>
  </si>
  <si>
    <t>NA</t>
  </si>
  <si>
    <t>21 to 30 Exceptions</t>
  </si>
  <si>
    <t>Direct Access</t>
  </si>
  <si>
    <t>Up to 6</t>
  </si>
  <si>
    <t>1 to 2</t>
  </si>
  <si>
    <t>No API Interfaces</t>
  </si>
  <si>
    <t>No atmx file</t>
  </si>
  <si>
    <t>151 to 300 Lines of Scripts</t>
  </si>
  <si>
    <t>Environment Readiness for Dev/QA/Prod</t>
  </si>
  <si>
    <t>Standalone Architecture</t>
  </si>
  <si>
    <t>.</t>
  </si>
  <si>
    <t>Test Case from 41 to 60</t>
  </si>
  <si>
    <t>Total Story Points</t>
  </si>
  <si>
    <t>Use Case Complexity</t>
  </si>
  <si>
    <t>T-Shirt Size Build Services</t>
  </si>
  <si>
    <t>Multiplier</t>
  </si>
  <si>
    <t>Simple</t>
  </si>
  <si>
    <t>Medium</t>
  </si>
  <si>
    <t>Process Description</t>
  </si>
  <si>
    <t>Task Description</t>
  </si>
  <si>
    <t>Sub Tasks</t>
  </si>
  <si>
    <t>Comments</t>
  </si>
  <si>
    <t>Business/Validation - Decisions/Rules</t>
  </si>
  <si>
    <t>Interface DB - DB Queries</t>
  </si>
  <si>
    <t>File Process - Excel sheets</t>
  </si>
  <si>
    <t>File Process - Word/Pdf/Power Point</t>
  </si>
  <si>
    <t>Reports Creation/updation - report Execution Report/Metrics Report</t>
  </si>
  <si>
    <t>Exception Handling (Business/System)</t>
  </si>
  <si>
    <t>Target Application UI access mode</t>
  </si>
  <si>
    <t>Automation Scripting - No. of Scripts need to be build</t>
  </si>
  <si>
    <t>Reusable Modules needed</t>
  </si>
  <si>
    <t>API Interfaces - No of Interface in user story</t>
  </si>
  <si>
    <t>Original Name</t>
  </si>
  <si>
    <t>Replacement Value</t>
  </si>
  <si>
    <t>ä</t>
  </si>
  <si>
    <t>a</t>
  </si>
  <si>
    <t>A.B.</t>
  </si>
  <si>
    <t>AB</t>
  </si>
  <si>
    <t>A/B</t>
  </si>
  <si>
    <t>Aktiebolag</t>
  </si>
  <si>
    <t>Company</t>
  </si>
  <si>
    <t>Co.</t>
  </si>
  <si>
    <t>Corporation</t>
  </si>
  <si>
    <t>Corp</t>
  </si>
  <si>
    <t>Gesellschaft mit beschränkter Haftung</t>
  </si>
  <si>
    <t>Gmbh</t>
  </si>
  <si>
    <t>Gmbh &amp; Co</t>
  </si>
  <si>
    <t>Incorporated</t>
  </si>
  <si>
    <t>Inc.</t>
  </si>
  <si>
    <t>Kommanditgesellschaft</t>
  </si>
  <si>
    <t>KG</t>
  </si>
  <si>
    <t>ltd</t>
  </si>
  <si>
    <t>Limited</t>
  </si>
  <si>
    <t>LTD</t>
  </si>
  <si>
    <t>Ltd</t>
  </si>
  <si>
    <t>Ltd.</t>
  </si>
  <si>
    <t>LTD.</t>
  </si>
  <si>
    <t>L.L.C</t>
  </si>
  <si>
    <t>LLC</t>
  </si>
  <si>
    <t>Limited Liability Corp</t>
  </si>
  <si>
    <t>Limited Liability Corporation</t>
  </si>
  <si>
    <t>L.P.</t>
  </si>
  <si>
    <t>LP</t>
  </si>
  <si>
    <t>Limited Partner</t>
  </si>
  <si>
    <t>Limited Partnership</t>
  </si>
  <si>
    <t>Public Limited Co.</t>
  </si>
  <si>
    <t>PLC</t>
  </si>
  <si>
    <t>Public Limited Company</t>
  </si>
  <si>
    <t>Sà rl</t>
  </si>
  <si>
    <t>SARL</t>
  </si>
  <si>
    <t>S.a r.l.</t>
  </si>
  <si>
    <t>S.à r.l.</t>
  </si>
  <si>
    <t>S.a.r.l.</t>
  </si>
  <si>
    <t>Société à responsabilité limitée</t>
  </si>
  <si>
    <t>Sociedades por Acciones Simplificada</t>
  </si>
  <si>
    <t>SAS</t>
  </si>
  <si>
    <t>Sociedad de responsabilidad limitada</t>
  </si>
  <si>
    <t>SpA</t>
  </si>
  <si>
    <t>s.r.o.</t>
  </si>
  <si>
    <t>sro</t>
  </si>
  <si>
    <t>spol. s r.o.</t>
  </si>
  <si>
    <t>društvo s ograničenom odgovornošću</t>
  </si>
  <si>
    <t>doo</t>
  </si>
  <si>
    <t>S.No</t>
  </si>
  <si>
    <t>Assumption</t>
  </si>
  <si>
    <t>remarks</t>
  </si>
  <si>
    <t>Queries</t>
  </si>
  <si>
    <t>Rules to Define Automation Complexity</t>
  </si>
  <si>
    <t>S. No.</t>
  </si>
  <si>
    <t>Attribute Weightage</t>
  </si>
  <si>
    <t>Parameters</t>
  </si>
  <si>
    <t>Parameter Weightage</t>
  </si>
  <si>
    <t>Note</t>
  </si>
  <si>
    <t>No Objects</t>
  </si>
  <si>
    <t>Every 8 total screening/UI, 1 story point to be added</t>
  </si>
  <si>
    <t>9 to 16</t>
  </si>
  <si>
    <t>17 to 24</t>
  </si>
  <si>
    <t>No Rules</t>
  </si>
  <si>
    <t>Every 12 Business/Validation - Decisions/Rules, 1 story point to be added</t>
  </si>
  <si>
    <t>1 to 12</t>
  </si>
  <si>
    <t>13 to 24</t>
  </si>
  <si>
    <t>37 to 48</t>
  </si>
  <si>
    <t>No Queries</t>
  </si>
  <si>
    <t>Every 15  Query Weightage, 1 story point to be added</t>
  </si>
  <si>
    <t>Weightage of the Query</t>
  </si>
  <si>
    <t>Query Description</t>
  </si>
  <si>
    <t>No of queries</t>
  </si>
  <si>
    <t>Total Weightage</t>
  </si>
  <si>
    <t>Queries using 1 to 3 tables</t>
  </si>
  <si>
    <t xml:space="preserve">  Query Weightage 16 to 30</t>
  </si>
  <si>
    <t>Queries using 4 to 8 tables</t>
  </si>
  <si>
    <t xml:space="preserve">  Query Weightage 31 to 45</t>
  </si>
  <si>
    <t>Queries using more than 8 tables</t>
  </si>
  <si>
    <t xml:space="preserve">  Query Weightage more than 45</t>
  </si>
  <si>
    <t>Every 10 Process Design - Total Process Steps, 1 story point to be added</t>
  </si>
  <si>
    <t>1 to 10</t>
  </si>
  <si>
    <t>11 to 20</t>
  </si>
  <si>
    <t>21 to 30</t>
  </si>
  <si>
    <t>41 to 50</t>
  </si>
  <si>
    <t>51 to 60</t>
  </si>
  <si>
    <t>61 to 70</t>
  </si>
  <si>
    <t>Applications Involved - No. of Systems</t>
  </si>
  <si>
    <t>Removed</t>
  </si>
  <si>
    <t>1 to 6</t>
  </si>
  <si>
    <t>7 to 10</t>
  </si>
  <si>
    <t>11 to 15</t>
  </si>
  <si>
    <t>Every 6 File Process - Excel sheets, 1 story point to be added</t>
  </si>
  <si>
    <t>1 to 6 Excel Sheets</t>
  </si>
  <si>
    <t xml:space="preserve"> </t>
  </si>
  <si>
    <t>13 to 18  Excel Sheets</t>
  </si>
  <si>
    <t>19 to 24  Excel Sheets</t>
  </si>
  <si>
    <r>
      <rPr>
        <b/>
        <u/>
        <sz val="11"/>
        <color theme="5" tint="-0.249977111117893"/>
        <rFont val="Calibri"/>
        <family val="2"/>
        <scheme val="minor"/>
      </rPr>
      <t xml:space="preserve">Structured Data: </t>
    </r>
    <r>
      <rPr>
        <b/>
        <sz val="11"/>
        <color theme="1"/>
        <rFont val="Calibri"/>
        <family val="2"/>
        <scheme val="minor"/>
      </rPr>
      <t xml:space="preserve">
1. Simple fixed field/location/editable text(Ex: Invoice number, date etc.)
2. No Images
</t>
    </r>
    <r>
      <rPr>
        <b/>
        <u/>
        <sz val="11"/>
        <color theme="5" tint="-0.249977111117893"/>
        <rFont val="Calibri"/>
        <family val="2"/>
        <scheme val="minor"/>
      </rPr>
      <t>Semi-Structured Data:</t>
    </r>
    <r>
      <rPr>
        <b/>
        <sz val="11"/>
        <color theme="5" tint="-0.249977111117893"/>
        <rFont val="Calibri"/>
        <family val="2"/>
        <scheme val="minor"/>
      </rPr>
      <t xml:space="preserve"> </t>
    </r>
    <r>
      <rPr>
        <b/>
        <sz val="11"/>
        <color theme="1"/>
        <rFont val="Calibri"/>
        <family val="2"/>
        <scheme val="minor"/>
      </rPr>
      <t xml:space="preserve">
1. Handling clear Images(Ex:Signatures,stamp etc.)
2. Identify free editable text 
</t>
    </r>
    <r>
      <rPr>
        <b/>
        <u/>
        <sz val="11"/>
        <color theme="5" tint="-0.249977111117893"/>
        <rFont val="Calibri"/>
        <family val="2"/>
        <scheme val="minor"/>
      </rPr>
      <t>Structured/Semi-Structured/Unstructured Data:</t>
    </r>
    <r>
      <rPr>
        <b/>
        <sz val="11"/>
        <color theme="1"/>
        <rFont val="Calibri"/>
        <family val="2"/>
        <scheme val="minor"/>
      </rPr>
      <t xml:space="preserve">
1. Working on Unstructured Data/Form elements
2. Working on Power point file[Copy data from word to PPT vice versa]
</t>
    </r>
  </si>
  <si>
    <t>Handling Structured Data</t>
  </si>
  <si>
    <t>Handling Semi-Structured Data</t>
  </si>
  <si>
    <t>Handling Structured/Semi-Structured/Unstructured Data</t>
  </si>
  <si>
    <t>Reports Creation/updation - Bot Execution Report/Metrics Report</t>
  </si>
  <si>
    <t>Every 2 Reports Creation/updation - Bot Execution Report/Metrics Report, 1 story point to be added</t>
  </si>
  <si>
    <t>1 to 2 Reports</t>
  </si>
  <si>
    <t>3 to 4 Reports</t>
  </si>
  <si>
    <t>5 to 6 Reports</t>
  </si>
  <si>
    <t>7 to 8 Reports</t>
  </si>
  <si>
    <t>Every 10 Exception Handling (Business/System), 1 story point to be added</t>
  </si>
  <si>
    <t>1 to 10 Exceptions</t>
  </si>
  <si>
    <t>11 to 20 Exceptions</t>
  </si>
  <si>
    <t>31 to 40 Exceptions</t>
  </si>
  <si>
    <t>Schedulers/Listeners - Schedulers/Calendars</t>
  </si>
  <si>
    <t>No scheduler/calendar</t>
  </si>
  <si>
    <t>Scheduler with Business Calendar</t>
  </si>
  <si>
    <t>Scheduler based on Custom Events</t>
  </si>
  <si>
    <t>Complex Scheduling</t>
  </si>
  <si>
    <t>Citrix/Remote Desktop/VDI Access</t>
  </si>
  <si>
    <t>No Scripts</t>
  </si>
  <si>
    <t>Every 6 Automation Scripting - No. of Scripts need to be build, 1 story point to be added</t>
  </si>
  <si>
    <t>7 to 12</t>
  </si>
  <si>
    <t>25 &amp; above</t>
  </si>
  <si>
    <t xml:space="preserve">Reusable Modules </t>
  </si>
  <si>
    <t>No Reusable Module</t>
  </si>
  <si>
    <t>Every 2 Reusable Modules need to be build, 1 story point to be added</t>
  </si>
  <si>
    <t>3 to 4</t>
  </si>
  <si>
    <t>Every 3 API Interfaces - No of Interface in user story, 1 story point to be added</t>
  </si>
  <si>
    <t>1 to 3</t>
  </si>
  <si>
    <t>4 to 6</t>
  </si>
  <si>
    <t>7 to 9</t>
  </si>
  <si>
    <t>10 to 12</t>
  </si>
  <si>
    <t>Understanding existing automation (atmx) E2E (Enh. only)</t>
  </si>
  <si>
    <t>0 to 1500 Lines of Code</t>
  </si>
  <si>
    <t>1501 to 3000 Lines of Code</t>
  </si>
  <si>
    <t>3001 to 4500 Lines of Code</t>
  </si>
  <si>
    <t>Understanding existing Macro/Other Scripts E2E (Enh. only)</t>
  </si>
  <si>
    <t>No Macro/Other Scripts</t>
  </si>
  <si>
    <t>0 to 150 Lines of Scripts</t>
  </si>
  <si>
    <t>301 to 450 Lines of Scripts</t>
  </si>
  <si>
    <t>1.  Coordination with Admin for Software Installation
2. Co-ordination  with Admin for Configuration (try &amp; catch) 
3. Perform  Smoke Test in Dev/QA
4. Prepare document and co-ordinate with Middleware Team for smoke test in prod</t>
  </si>
  <si>
    <t>Solution Design (SDD)</t>
  </si>
  <si>
    <t>Multi Bot Architecture without interaction with each other</t>
  </si>
  <si>
    <t>Multi Bot Controller Architecture</t>
  </si>
  <si>
    <t xml:space="preserve">Test Case Document &amp; QAT </t>
  </si>
  <si>
    <t>Every 20 test cases 1 story point to be added</t>
  </si>
  <si>
    <t>Test Case up to 20</t>
  </si>
  <si>
    <t>Test Case from 21 to 40</t>
  </si>
  <si>
    <t>Test Case from 61 to 80</t>
  </si>
  <si>
    <t>Excel Manipulation</t>
  </si>
  <si>
    <t>Copy master Template to Inprogress folder</t>
  </si>
  <si>
    <t>Update Engagement Summary Dashboard – Open Engagement</t>
  </si>
  <si>
    <t>Macro-Updating data from Engagement Summary File to Master Template File.</t>
  </si>
  <si>
    <t>Macro-Updating Engagement numbers in Engagement Summary report sheet.</t>
  </si>
  <si>
    <t>1 copies all values from Open Engagements!D5:D(last row).
2.and pastes them into Engagement Summary Report!H7 downward, 
3.reads all Engagement IDs from “Open Engagements” (column D, row 5 down).
4. compares them to the existing IDs in “Engagement Summary Report” (column H, row 6 down).
5.adds only the new ones to column H with a note in column B—while skipping blanks, skipping duplicates.
6.Save the file.</t>
  </si>
  <si>
    <t>Updating Engagement numbers in Engagement Summary report sheet for getting remaining fields updated..</t>
  </si>
  <si>
    <t>Updating Engagement numbers in Closeout Pivot sheet for getting Code change and notes fields updated.</t>
  </si>
  <si>
    <t>Extracting details from Engagement letters</t>
  </si>
  <si>
    <t>Download engagement report files from sharepoint.</t>
  </si>
  <si>
    <t>Extract fee details from Engagement letters</t>
  </si>
  <si>
    <t>Updating Engagement numbers in Closeout Pivot sheet.</t>
  </si>
  <si>
    <t>Get Input Engagement Summary File.</t>
  </si>
  <si>
    <t>Get Input Recievable detail File</t>
  </si>
  <si>
    <t>Billing and Cash Drive Sheet</t>
  </si>
  <si>
    <t>Updating partner wise data from Recievables report sheet and engagement summary sheet in the Billing and cash drive sheet.</t>
  </si>
  <si>
    <t>Updating all three sheets of data to Sharepoint</t>
  </si>
  <si>
    <t>Refresh Engagement Dashboard.</t>
  </si>
  <si>
    <t>1.Values will be uodated for them whose status is showing as closed.</t>
  </si>
  <si>
    <t>Extracting details from Engagement letters and SAN Free range from Mail attachment.</t>
  </si>
  <si>
    <t xml:space="preserve">Extract SAN FEE Range from email Attachments </t>
  </si>
  <si>
    <t>Upload file in Sharepoint.</t>
  </si>
  <si>
    <t xml:space="preserve">1.Check for Network drive access: \\Usmdcflex009\KSD\department\BET Technology Network Drive.
2.if no access send an exception email.
</t>
  </si>
  <si>
    <t>1.Check Engagement summary File from-\\Usmdcflex009\KSD\department\BET Technology Network Drive
2.If file not found send exception
3.If file found copy and Paste that zip file in sub folder</t>
  </si>
  <si>
    <t>Updating Engagment Summary Dashboard – Recievable Report</t>
  </si>
  <si>
    <t>1.Validate sharepoint link check for  access and files.
2.If no Accessand no files send exception to Business.
3.loop through each row and Check if flag Open, then download the engagement letter and email atatchment.
4.Change the Flag to InProgress.</t>
  </si>
  <si>
    <t>1.Add a new column with name Invoice Aging days in File.
2.This column will calculate the difference between Bill Clearing date and Billing Date.
3. Convert the difference into days and paste the data in Master template file.
4.Add a new coulmn with name Average Invoice Aging Days.
5.Calculate the average out of Invoice Aging Days by Clinet Name.
6.Go to Column B and convert data to Number.
7.Go to Column H and remove duplicates.
8.Go to Coulmn Q and sort data from largest to smallest.
9.Save File.</t>
  </si>
  <si>
    <t>1.Copy all Engagement letters and Email Attachments from downloads to Local folder.
2.Loop Through each file of pdf Attachment.
3.Send Engagement letter to LLM and extract the required details from prompts.
4.Also give prompts to what fields to be extracted with keywords.
5.Update the extracted fields from engagement letters to template file.
6.Save the file.</t>
  </si>
  <si>
    <t>1.Download Email attachment from Sharepoint list.
2.Get the file name(Engagement Number).
3.Open each atatchment and extaract body from email attachment to a string.
4.Extract required SAN FEE RANGE from the string.
5.Open Template file and update details of the extracted san fee range with the Engagement Number.
6.Close the outlook Attachment.
7.Change the flag to complete in Sharepoint.</t>
  </si>
  <si>
    <t xml:space="preserve">1.Check Recievable detail File from-\\Usmdcflex009\KSD\department\BET Technology Network Drive
2.If zip file (Receivables Report_ YYYY-MM-DD.zip) file not found send exception
3.If file found copy and Paste that zip file in Local folder.
</t>
  </si>
  <si>
    <t>1.Unzip the folder and Open Recievable detail file.</t>
  </si>
  <si>
    <t>1.Copy all Partner names which will be taken form Recievable report.
2.Remove duplicate names from Partners.
3. paste those partner names to Billing and cash drive Sheets.
4.Apply formulas for remaining cloumn to get unbilled total, cash total etc.
5.At the end of the sheet apply formulas to all the  cloumns to find total.
6.Repeat this for other two sheets.</t>
  </si>
  <si>
    <t>1.Copy Engagement Summary master Template from templates Folder to Inprogress Folder
2.Open Master template file and switch to recievable report sheet.
3.Check if headers are same for both template and Recievable detail File.
4.If not matching,Reorder or rename columns in the Receivable Detail file based on template structure.
5.Add new colums from Receivable file if not present in Template file.
6.Save and close FIle.
7.Connect to recievable report file as database.
8.Copy data whose Engagement Function is Tax only.</t>
  </si>
  <si>
    <t>1.Unzip the file and Connect to Engagement Summary file as Database.
2.Copy data whose Current Engagement Profit Center : Function Desc is Tax group only.</t>
  </si>
  <si>
    <t>1.Open Engagement Summary Master Template File.
2.Switch to Engagement Summary Sheet in Master Template.
3.paste Copied data fromRae report of engagement summary to  Engagement Summary sheet in Master Template.
4.Select Column C and convert it to a Number.
5.Select Column D and remove duplicates.
6.Select Column D and convert data into Number.
7.Go to Column G and paste Special by divide.
8.Go to Column Z and Select percentage to dispaly data in correct format.
9.Go to column A1 and upfdate todays date as last refresh date.
10.Save the file.</t>
  </si>
  <si>
    <t>1.Create three new workbooks for Engagement summaey Dashboard , Billing and cash drive and Recievables report.
2.Copy data from each sheet and paste it in workbooks.
3.Update all three excel workbooks to Sharepoint.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</si>
</sst>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b/>
      <i/>
      <sz val="11"/>
      <color theme="1"/>
      <name val="Calibri"/>
      <family val="2"/>
      <scheme val="minor"/>
    </font>
    <font>
      <b/>
      <sz val="14"/>
      <color theme="1"/>
      <name val="Calibri"/>
      <family val="2"/>
      <scheme val="minor"/>
    </font>
    <font>
      <sz val="12"/>
      <color rgb="FF000000"/>
      <name val="Calibri"/>
      <family val="2"/>
    </font>
    <font>
      <b/>
      <sz val="12"/>
      <color rgb="FF000000"/>
      <name val="Calibri"/>
      <family val="2"/>
    </font>
    <font>
      <b/>
      <sz val="11"/>
      <color theme="1"/>
      <name val="Calibri"/>
      <family val="2"/>
      <scheme val="minor"/>
    </font>
    <font>
      <sz val="10"/>
      <color theme="1"/>
      <name val="Univers 45 Light"/>
    </font>
    <font>
      <i/>
      <sz val="11"/>
      <color theme="1"/>
      <name val="Calibri"/>
      <family val="2"/>
      <scheme val="minor"/>
    </font>
    <font>
      <b/>
      <sz val="10"/>
      <color theme="1"/>
      <name val="Calibri"/>
      <family val="2"/>
      <scheme val="minor"/>
    </font>
    <font>
      <b/>
      <sz val="12"/>
      <color theme="1"/>
      <name val="Calibri"/>
      <family val="2"/>
      <scheme val="minor"/>
    </font>
    <font>
      <sz val="11"/>
      <name val="Calibri"/>
      <family val="2"/>
      <scheme val="minor"/>
    </font>
    <font>
      <sz val="16"/>
      <color theme="1"/>
      <name val="Calibri"/>
      <family val="2"/>
      <scheme val="minor"/>
    </font>
    <font>
      <b/>
      <sz val="12"/>
      <color theme="1"/>
      <name val="Arial"/>
      <family val="2"/>
    </font>
    <font>
      <b/>
      <sz val="12"/>
      <name val="Calibri"/>
      <family val="2"/>
    </font>
    <font>
      <sz val="12"/>
      <name val="Calibri"/>
      <family val="2"/>
    </font>
    <font>
      <b/>
      <u/>
      <sz val="11"/>
      <color theme="5" tint="-0.249977111117893"/>
      <name val="Calibri"/>
      <family val="2"/>
      <scheme val="minor"/>
    </font>
    <font>
      <b/>
      <sz val="11"/>
      <color theme="5" tint="-0.249977111117893"/>
      <name val="Calibri"/>
      <family val="2"/>
      <scheme val="minor"/>
    </font>
    <font>
      <sz val="11"/>
      <color rgb="FF7030A0"/>
      <name val="Calibri"/>
      <family val="2"/>
      <scheme val="minor"/>
    </font>
    <font>
      <sz val="11"/>
      <color theme="9"/>
      <name val="Calibri"/>
      <family val="2"/>
      <scheme val="minor"/>
    </font>
    <font>
      <b/>
      <sz val="11"/>
      <color rgb="FFFF0000"/>
      <name val="Calibri"/>
      <family val="2"/>
      <scheme val="minor"/>
    </font>
    <font>
      <b/>
      <u/>
      <sz val="11"/>
      <color theme="1"/>
      <name val="Calibri"/>
      <family val="2"/>
      <scheme val="minor"/>
    </font>
    <font>
      <sz val="8"/>
      <name val="Calibri"/>
      <family val="2"/>
      <scheme val="minor"/>
    </font>
    <font>
      <b/>
      <sz val="10"/>
      <color rgb="FF000000"/>
      <name val="Arial"/>
      <family val="2"/>
    </font>
    <font>
      <b/>
      <sz val="10"/>
      <color theme="1"/>
      <name val="Arial"/>
      <family val="2"/>
    </font>
    <font>
      <sz val="12"/>
      <color rgb="FF000000"/>
      <name val="Calibri"/>
      <family val="2"/>
      <scheme val="minor"/>
    </font>
    <font>
      <b/>
      <sz val="16"/>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rgb="FF66CCFF"/>
        <bgColor indexed="64"/>
      </patternFill>
    </fill>
    <fill>
      <patternFill patternType="solid">
        <fgColor rgb="FF92D050"/>
        <bgColor indexed="64"/>
      </patternFill>
    </fill>
    <fill>
      <patternFill patternType="solid">
        <fgColor theme="0" tint="-0.249977111117893"/>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medium">
        <color theme="5" tint="-0.499984740745262"/>
      </left>
      <right style="medium">
        <color theme="5" tint="-0.499984740745262"/>
      </right>
      <top style="medium">
        <color theme="5" tint="-0.499984740745262"/>
      </top>
      <bottom style="medium">
        <color theme="5" tint="-0.499984740745262"/>
      </bottom>
      <diagonal/>
    </border>
    <border>
      <left style="medium">
        <color theme="5" tint="-0.499984740745262"/>
      </left>
      <right style="thin">
        <color indexed="64"/>
      </right>
      <top style="medium">
        <color theme="5" tint="-0.499984740745262"/>
      </top>
      <bottom style="thin">
        <color indexed="64"/>
      </bottom>
      <diagonal/>
    </border>
    <border>
      <left style="thin">
        <color indexed="64"/>
      </left>
      <right style="thin">
        <color indexed="64"/>
      </right>
      <top style="medium">
        <color theme="5" tint="-0.499984740745262"/>
      </top>
      <bottom style="thin">
        <color indexed="64"/>
      </bottom>
      <diagonal/>
    </border>
    <border>
      <left style="thin">
        <color indexed="64"/>
      </left>
      <right style="medium">
        <color theme="5" tint="-0.499984740745262"/>
      </right>
      <top style="medium">
        <color theme="5" tint="-0.499984740745262"/>
      </top>
      <bottom style="thin">
        <color indexed="64"/>
      </bottom>
      <diagonal/>
    </border>
    <border>
      <left style="medium">
        <color theme="5" tint="-0.499984740745262"/>
      </left>
      <right style="thin">
        <color indexed="64"/>
      </right>
      <top style="thin">
        <color indexed="64"/>
      </top>
      <bottom style="thin">
        <color indexed="64"/>
      </bottom>
      <diagonal/>
    </border>
    <border>
      <left style="thin">
        <color indexed="64"/>
      </left>
      <right style="medium">
        <color theme="5" tint="-0.499984740745262"/>
      </right>
      <top style="thin">
        <color indexed="64"/>
      </top>
      <bottom style="thin">
        <color indexed="64"/>
      </bottom>
      <diagonal/>
    </border>
    <border>
      <left style="medium">
        <color theme="5" tint="-0.499984740745262"/>
      </left>
      <right style="thin">
        <color theme="5" tint="-0.499984740745262"/>
      </right>
      <top style="medium">
        <color theme="5" tint="-0.499984740745262"/>
      </top>
      <bottom style="thin">
        <color theme="5" tint="-0.499984740745262"/>
      </bottom>
      <diagonal/>
    </border>
    <border>
      <left style="thin">
        <color theme="5" tint="-0.499984740745262"/>
      </left>
      <right style="medium">
        <color theme="5" tint="-0.499984740745262"/>
      </right>
      <top style="medium">
        <color theme="5" tint="-0.499984740745262"/>
      </top>
      <bottom style="thin">
        <color theme="5" tint="-0.499984740745262"/>
      </bottom>
      <diagonal/>
    </border>
    <border>
      <left style="medium">
        <color theme="5" tint="-0.499984740745262"/>
      </left>
      <right style="thin">
        <color theme="5" tint="-0.499984740745262"/>
      </right>
      <top style="thin">
        <color theme="5" tint="-0.499984740745262"/>
      </top>
      <bottom style="thin">
        <color theme="5" tint="-0.499984740745262"/>
      </bottom>
      <diagonal/>
    </border>
    <border>
      <left style="thin">
        <color theme="5" tint="-0.499984740745262"/>
      </left>
      <right style="medium">
        <color theme="5" tint="-0.499984740745262"/>
      </right>
      <top style="thin">
        <color theme="5" tint="-0.499984740745262"/>
      </top>
      <bottom style="thin">
        <color theme="5" tint="-0.499984740745262"/>
      </bottom>
      <diagonal/>
    </border>
    <border>
      <left style="medium">
        <color theme="5" tint="-0.499984740745262"/>
      </left>
      <right style="thin">
        <color theme="5" tint="-0.499984740745262"/>
      </right>
      <top style="thin">
        <color theme="5" tint="-0.499984740745262"/>
      </top>
      <bottom style="medium">
        <color theme="5" tint="-0.499984740745262"/>
      </bottom>
      <diagonal/>
    </border>
    <border>
      <left style="thin">
        <color theme="5" tint="-0.499984740745262"/>
      </left>
      <right style="medium">
        <color theme="5" tint="-0.499984740745262"/>
      </right>
      <top style="thin">
        <color theme="5" tint="-0.499984740745262"/>
      </top>
      <bottom style="medium">
        <color theme="5" tint="-0.499984740745262"/>
      </bottom>
      <diagonal/>
    </border>
    <border>
      <left style="medium">
        <color theme="5" tint="-0.499984740745262"/>
      </left>
      <right/>
      <top style="thin">
        <color theme="5" tint="-0.499984740745262"/>
      </top>
      <bottom style="thin">
        <color theme="5" tint="-0.499984740745262"/>
      </bottom>
      <diagonal/>
    </border>
    <border>
      <left style="medium">
        <color theme="5" tint="-0.499984740745262"/>
      </left>
      <right/>
      <top style="thin">
        <color theme="5" tint="-0.499984740745262"/>
      </top>
      <bottom style="medium">
        <color theme="5" tint="-0.499984740745262"/>
      </bottom>
      <diagonal/>
    </border>
    <border>
      <left style="medium">
        <color theme="5" tint="-0.499984740745262"/>
      </left>
      <right style="medium">
        <color theme="5" tint="-0.499984740745262"/>
      </right>
      <top style="thin">
        <color theme="5" tint="-0.499984740745262"/>
      </top>
      <bottom style="thin">
        <color theme="5" tint="-0.499984740745262"/>
      </bottom>
      <diagonal/>
    </border>
    <border>
      <left style="medium">
        <color theme="5" tint="-0.499984740745262"/>
      </left>
      <right style="medium">
        <color theme="5" tint="-0.499984740745262"/>
      </right>
      <top style="thin">
        <color theme="5" tint="-0.499984740745262"/>
      </top>
      <bottom style="medium">
        <color theme="5" tint="-0.499984740745262"/>
      </bottom>
      <diagonal/>
    </border>
    <border>
      <left/>
      <right style="medium">
        <color theme="5" tint="-0.499984740745262"/>
      </right>
      <top style="medium">
        <color theme="5" tint="-0.499984740745262"/>
      </top>
      <bottom style="medium">
        <color theme="5" tint="-0.499984740745262"/>
      </bottom>
      <diagonal/>
    </border>
    <border>
      <left style="thin">
        <color theme="5" tint="-0.499984740745262"/>
      </left>
      <right style="medium">
        <color theme="5" tint="-0.499984740745262"/>
      </right>
      <top style="medium">
        <color theme="5" tint="-0.499984740745262"/>
      </top>
      <bottom style="medium">
        <color theme="5" tint="-0.499984740745262"/>
      </bottom>
      <diagonal/>
    </border>
    <border>
      <left style="medium">
        <color theme="5" tint="-0.499984740745262"/>
      </left>
      <right style="medium">
        <color theme="5" tint="-0.499984740745262"/>
      </right>
      <top/>
      <bottom style="medium">
        <color theme="5" tint="-0.499984740745262"/>
      </bottom>
      <diagonal/>
    </border>
    <border>
      <left/>
      <right style="medium">
        <color theme="5" tint="-0.499984740745262"/>
      </right>
      <top/>
      <bottom style="medium">
        <color theme="5" tint="-0.499984740745262"/>
      </bottom>
      <diagonal/>
    </border>
    <border>
      <left style="medium">
        <color theme="5" tint="-0.499984740745262"/>
      </left>
      <right/>
      <top/>
      <bottom style="thin">
        <color theme="5" tint="-0.499984740745262"/>
      </bottom>
      <diagonal/>
    </border>
    <border>
      <left style="medium">
        <color theme="5" tint="-0.499984740745262"/>
      </left>
      <right style="medium">
        <color theme="5" tint="-0.499984740745262"/>
      </right>
      <top/>
      <bottom style="thin">
        <color theme="5" tint="-0.499984740745262"/>
      </bottom>
      <diagonal/>
    </border>
    <border>
      <left style="medium">
        <color theme="5" tint="-0.499984740745262"/>
      </left>
      <right/>
      <top style="medium">
        <color theme="5" tint="-0.499984740745262"/>
      </top>
      <bottom style="medium">
        <color theme="5" tint="-0.499984740745262"/>
      </bottom>
      <diagonal/>
    </border>
    <border>
      <left style="medium">
        <color theme="5" tint="-0.499984740745262"/>
      </left>
      <right style="thin">
        <color indexed="64"/>
      </right>
      <top style="thin">
        <color indexed="64"/>
      </top>
      <bottom style="medium">
        <color theme="5" tint="-0.499984740745262"/>
      </bottom>
      <diagonal/>
    </border>
    <border>
      <left style="thin">
        <color indexed="64"/>
      </left>
      <right style="thin">
        <color indexed="64"/>
      </right>
      <top style="thin">
        <color indexed="64"/>
      </top>
      <bottom style="medium">
        <color theme="5" tint="-0.499984740745262"/>
      </bottom>
      <diagonal/>
    </border>
    <border>
      <left style="thin">
        <color indexed="64"/>
      </left>
      <right style="medium">
        <color theme="5" tint="-0.499984740745262"/>
      </right>
      <top style="thin">
        <color indexed="64"/>
      </top>
      <bottom style="medium">
        <color theme="5" tint="-0.499984740745262"/>
      </bottom>
      <diagonal/>
    </border>
    <border>
      <left/>
      <right/>
      <top style="thin">
        <color theme="5" tint="-0.499984740745262"/>
      </top>
      <bottom style="thin">
        <color theme="5" tint="-0.499984740745262"/>
      </bottom>
      <diagonal/>
    </border>
    <border>
      <left style="medium">
        <color theme="5" tint="-0.499984740745262"/>
      </left>
      <right/>
      <top style="medium">
        <color theme="5" tint="-0.499984740745262"/>
      </top>
      <bottom/>
      <diagonal/>
    </border>
    <border>
      <left style="medium">
        <color indexed="64"/>
      </left>
      <right style="medium">
        <color indexed="64"/>
      </right>
      <top style="medium">
        <color indexed="64"/>
      </top>
      <bottom style="thin">
        <color theme="5" tint="-0.499984740745262"/>
      </bottom>
      <diagonal/>
    </border>
    <border>
      <left style="medium">
        <color theme="5" tint="-0.499984740745262"/>
      </left>
      <right style="medium">
        <color theme="5" tint="-0.499984740745262"/>
      </right>
      <top style="medium">
        <color theme="5" tint="-0.499984740745262"/>
      </top>
      <bottom/>
      <diagonal/>
    </border>
    <border>
      <left/>
      <right style="medium">
        <color theme="5" tint="-0.499984740745262"/>
      </right>
      <top style="medium">
        <color theme="5" tint="-0.499984740745262"/>
      </top>
      <bottom/>
      <diagonal/>
    </border>
    <border>
      <left/>
      <right/>
      <top style="medium">
        <color indexed="64"/>
      </top>
      <bottom style="thin">
        <color theme="5" tint="-0.499984740745262"/>
      </bottom>
      <diagonal/>
    </border>
    <border>
      <left/>
      <right style="medium">
        <color indexed="64"/>
      </right>
      <top style="medium">
        <color indexed="64"/>
      </top>
      <bottom style="thin">
        <color theme="5" tint="-0.499984740745262"/>
      </bottom>
      <diagonal/>
    </border>
    <border>
      <left/>
      <right style="medium">
        <color indexed="64"/>
      </right>
      <top style="thin">
        <color theme="5" tint="-0.499984740745262"/>
      </top>
      <bottom style="thin">
        <color theme="5" tint="-0.499984740745262"/>
      </bottom>
      <diagonal/>
    </border>
    <border>
      <left/>
      <right/>
      <top style="thin">
        <color theme="5" tint="-0.499984740745262"/>
      </top>
      <bottom style="medium">
        <color indexed="64"/>
      </bottom>
      <diagonal/>
    </border>
    <border>
      <left style="medium">
        <color theme="5" tint="-0.499984740745262"/>
      </left>
      <right style="medium">
        <color theme="5" tint="-0.499984740745262"/>
      </right>
      <top style="thin">
        <color theme="5" tint="-0.499984740745262"/>
      </top>
      <bottom style="medium">
        <color indexed="64"/>
      </bottom>
      <diagonal/>
    </border>
    <border>
      <left/>
      <right style="medium">
        <color indexed="64"/>
      </right>
      <top style="thin">
        <color theme="5" tint="-0.499984740745262"/>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theme="8" tint="-0.249977111117893"/>
      </right>
      <top style="thin">
        <color indexed="64"/>
      </top>
      <bottom style="thin">
        <color indexed="64"/>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thin">
        <color theme="8" tint="-0.249977111117893"/>
      </right>
      <top style="medium">
        <color theme="1"/>
      </top>
      <bottom style="thin">
        <color indexed="64"/>
      </bottom>
      <diagonal/>
    </border>
    <border>
      <left/>
      <right style="thin">
        <color indexed="64"/>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thin">
        <color theme="8" tint="-0.249977111117893"/>
      </right>
      <top style="thin">
        <color indexed="64"/>
      </top>
      <bottom style="medium">
        <color theme="1"/>
      </bottom>
      <diagonal/>
    </border>
    <border>
      <left/>
      <right style="thin">
        <color indexed="64"/>
      </right>
      <top style="thin">
        <color indexed="64"/>
      </top>
      <bottom style="medium">
        <color theme="1"/>
      </bottom>
      <diagonal/>
    </border>
    <border>
      <left style="thin">
        <color indexed="64"/>
      </left>
      <right style="medium">
        <color theme="1"/>
      </right>
      <top style="medium">
        <color theme="1"/>
      </top>
      <bottom/>
      <diagonal/>
    </border>
    <border>
      <left style="thin">
        <color indexed="64"/>
      </left>
      <right style="medium">
        <color theme="1"/>
      </right>
      <top/>
      <bottom/>
      <diagonal/>
    </border>
    <border>
      <left style="thin">
        <color indexed="64"/>
      </left>
      <right style="medium">
        <color theme="1"/>
      </right>
      <top/>
      <bottom style="medium">
        <color theme="1"/>
      </bottom>
      <diagonal/>
    </border>
    <border>
      <left style="medium">
        <color indexed="64"/>
      </left>
      <right style="thin">
        <color indexed="64"/>
      </right>
      <top/>
      <bottom style="thin">
        <color indexed="64"/>
      </bottom>
      <diagonal/>
    </border>
    <border>
      <left style="medium">
        <color theme="1"/>
      </left>
      <right style="thin">
        <color indexed="64"/>
      </right>
      <top style="medium">
        <color theme="1"/>
      </top>
      <bottom style="medium">
        <color theme="1"/>
      </bottom>
      <diagonal/>
    </border>
    <border>
      <left style="thin">
        <color indexed="64"/>
      </left>
      <right style="thin">
        <color indexed="64"/>
      </right>
      <top style="medium">
        <color theme="1"/>
      </top>
      <bottom style="medium">
        <color theme="1"/>
      </bottom>
      <diagonal/>
    </border>
    <border>
      <left style="medium">
        <color theme="1"/>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theme="1"/>
      </top>
      <bottom/>
      <diagonal/>
    </border>
    <border>
      <left style="thin">
        <color indexed="64"/>
      </left>
      <right style="medium">
        <color indexed="64"/>
      </right>
      <top/>
      <bottom style="medium">
        <color theme="1"/>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theme="1"/>
      </right>
      <top/>
      <bottom style="medium">
        <color indexed="64"/>
      </bottom>
      <diagonal/>
    </border>
    <border>
      <left style="medium">
        <color theme="5" tint="-0.499984740745262"/>
      </left>
      <right style="medium">
        <color theme="5" tint="-0.499984740745262"/>
      </right>
      <top style="thin">
        <color theme="5" tint="-0.499984740745262"/>
      </top>
      <bottom/>
      <diagonal/>
    </border>
    <border>
      <left style="medium">
        <color theme="5" tint="-0.499984740745262"/>
      </left>
      <right style="medium">
        <color theme="5" tint="-0.499984740745262"/>
      </right>
      <top style="thin">
        <color indexed="64"/>
      </top>
      <bottom style="medium">
        <color theme="5" tint="-0.499984740745262"/>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s>
  <cellStyleXfs count="1">
    <xf numFmtId="0" fontId="0" fillId="0" borderId="0"/>
  </cellStyleXfs>
  <cellXfs count="265">
    <xf numFmtId="0" fontId="0" fillId="0" borderId="0" xfId="0"/>
    <xf numFmtId="0" fontId="3" fillId="0" borderId="0" xfId="0" applyFont="1" applyAlignment="1">
      <alignment horizontal="center" wrapText="1" readingOrder="1"/>
    </xf>
    <xf numFmtId="0" fontId="0" fillId="0" borderId="1" xfId="0" applyBorder="1" applyAlignment="1">
      <alignment horizontal="center"/>
    </xf>
    <xf numFmtId="0" fontId="0" fillId="0" borderId="0" xfId="0" applyAlignment="1">
      <alignment vertical="center"/>
    </xf>
    <xf numFmtId="0" fontId="0" fillId="0" borderId="0" xfId="0" applyAlignment="1">
      <alignment horizontal="center" vertical="center"/>
    </xf>
    <xf numFmtId="0" fontId="5" fillId="0" borderId="0" xfId="0" applyFont="1"/>
    <xf numFmtId="0" fontId="7" fillId="3" borderId="9" xfId="0" applyFont="1" applyFill="1" applyBorder="1" applyAlignment="1">
      <alignment horizontal="center"/>
    </xf>
    <xf numFmtId="0" fontId="7" fillId="2" borderId="13" xfId="0" applyFont="1" applyFill="1" applyBorder="1" applyAlignment="1">
      <alignment horizontal="center"/>
    </xf>
    <xf numFmtId="0" fontId="5" fillId="0" borderId="24" xfId="0" applyFont="1"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5" fillId="0" borderId="2" xfId="0" applyFont="1" applyBorder="1" applyAlignment="1">
      <alignment horizontal="center" vertical="center"/>
    </xf>
    <xf numFmtId="0" fontId="6" fillId="0" borderId="23" xfId="0" applyFont="1" applyBorder="1" applyAlignment="1">
      <alignment vertical="center" wrapText="1"/>
    </xf>
    <xf numFmtId="0" fontId="6" fillId="0" borderId="16" xfId="0" applyFont="1" applyBorder="1" applyAlignment="1">
      <alignment vertical="center" wrapText="1"/>
    </xf>
    <xf numFmtId="0" fontId="0" fillId="0" borderId="16" xfId="0" applyBorder="1" applyAlignment="1">
      <alignment vertical="center"/>
    </xf>
    <xf numFmtId="0" fontId="6" fillId="0" borderId="17" xfId="0" applyFont="1" applyBorder="1" applyAlignment="1">
      <alignment vertical="center" wrapText="1"/>
    </xf>
    <xf numFmtId="0" fontId="0" fillId="0" borderId="13" xfId="0" applyBorder="1" applyAlignment="1">
      <alignment vertical="center" wrapText="1"/>
    </xf>
    <xf numFmtId="0" fontId="8" fillId="0" borderId="0" xfId="0" applyFont="1" applyAlignment="1">
      <alignment horizontal="center" vertical="center" wrapText="1"/>
    </xf>
    <xf numFmtId="0" fontId="0" fillId="0" borderId="7"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6" xfId="0" applyBorder="1" applyAlignment="1">
      <alignment horizontal="center"/>
    </xf>
    <xf numFmtId="0" fontId="0" fillId="0" borderId="25" xfId="0" applyBorder="1" applyAlignment="1">
      <alignment horizont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wrapText="1"/>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2" fillId="2" borderId="2" xfId="0" applyFont="1" applyFill="1" applyBorder="1" applyAlignment="1">
      <alignment horizontal="center" vertical="center"/>
    </xf>
    <xf numFmtId="2" fontId="2" fillId="2" borderId="19" xfId="0" applyNumberFormat="1" applyFont="1" applyFill="1" applyBorder="1" applyAlignment="1">
      <alignment horizontal="center" vertical="center"/>
    </xf>
    <xf numFmtId="0" fontId="0" fillId="3" borderId="16" xfId="0" applyFill="1" applyBorder="1" applyAlignment="1">
      <alignment horizontal="left" vertical="center" wrapText="1"/>
    </xf>
    <xf numFmtId="0" fontId="0" fillId="0" borderId="8" xfId="0" applyBorder="1" applyAlignment="1">
      <alignment vertical="center"/>
    </xf>
    <xf numFmtId="0" fontId="0" fillId="0" borderId="10" xfId="0" applyBorder="1" applyAlignment="1">
      <alignment vertical="center"/>
    </xf>
    <xf numFmtId="0" fontId="0" fillId="0" borderId="12" xfId="0" applyBorder="1" applyAlignment="1">
      <alignment vertical="center"/>
    </xf>
    <xf numFmtId="0" fontId="0" fillId="0" borderId="28" xfId="0" applyBorder="1" applyAlignment="1">
      <alignment horizontal="left" vertical="center" wrapText="1"/>
    </xf>
    <xf numFmtId="0" fontId="0" fillId="0" borderId="28" xfId="0" applyBorder="1" applyAlignment="1">
      <alignment horizontal="left" vertical="center"/>
    </xf>
    <xf numFmtId="0" fontId="9" fillId="4" borderId="29" xfId="0" applyFont="1" applyFill="1" applyBorder="1" applyAlignment="1">
      <alignment horizontal="center" vertical="center" wrapText="1"/>
    </xf>
    <xf numFmtId="0" fontId="0" fillId="0" borderId="30" xfId="0" applyBorder="1" applyAlignment="1">
      <alignment horizontal="center" vertical="center" wrapText="1"/>
    </xf>
    <xf numFmtId="0" fontId="9" fillId="4" borderId="31" xfId="0" applyFont="1" applyFill="1" applyBorder="1" applyAlignment="1">
      <alignment horizontal="center" vertical="center" wrapText="1"/>
    </xf>
    <xf numFmtId="0" fontId="9" fillId="4" borderId="32" xfId="0" applyFont="1" applyFill="1" applyBorder="1" applyAlignment="1">
      <alignment horizontal="center" vertical="center" wrapText="1"/>
    </xf>
    <xf numFmtId="0" fontId="0" fillId="0" borderId="33" xfId="0" applyBorder="1" applyAlignment="1">
      <alignment horizontal="left" vertical="center" wrapText="1"/>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0" borderId="36" xfId="0" applyBorder="1" applyAlignment="1">
      <alignment horizontal="left" vertical="center" wrapText="1"/>
    </xf>
    <xf numFmtId="0" fontId="0" fillId="3" borderId="37" xfId="0" applyFill="1" applyBorder="1" applyAlignment="1">
      <alignment horizontal="left" vertical="center" wrapText="1"/>
    </xf>
    <xf numFmtId="0" fontId="0" fillId="2" borderId="38" xfId="0" applyFill="1" applyBorder="1" applyAlignment="1">
      <alignment horizontal="center" vertical="center"/>
    </xf>
    <xf numFmtId="0" fontId="3" fillId="0" borderId="1"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14" fillId="6" borderId="1" xfId="0" applyFont="1" applyFill="1" applyBorder="1" applyAlignment="1">
      <alignment horizontal="center" vertical="center" wrapText="1" readingOrder="1"/>
    </xf>
    <xf numFmtId="0" fontId="10" fillId="6" borderId="1" xfId="0" applyFont="1" applyFill="1" applyBorder="1" applyAlignment="1">
      <alignment horizontal="center" vertical="center"/>
    </xf>
    <xf numFmtId="0" fontId="3" fillId="0" borderId="40" xfId="0" applyFont="1" applyBorder="1" applyAlignment="1">
      <alignment horizontal="center" vertical="center" wrapText="1" readingOrder="1"/>
    </xf>
    <xf numFmtId="0" fontId="3" fillId="0" borderId="41" xfId="0" applyFont="1" applyBorder="1" applyAlignment="1">
      <alignment horizontal="center" vertical="center" wrapText="1" readingOrder="1"/>
    </xf>
    <xf numFmtId="0" fontId="3" fillId="0" borderId="39" xfId="0" applyFont="1" applyBorder="1" applyAlignment="1">
      <alignment horizontal="center" vertical="center" wrapText="1" readingOrder="1"/>
    </xf>
    <xf numFmtId="0" fontId="4" fillId="0" borderId="47" xfId="0" applyFont="1" applyBorder="1" applyAlignment="1">
      <alignment horizontal="center" vertical="center" wrapText="1" readingOrder="1"/>
    </xf>
    <xf numFmtId="0" fontId="3" fillId="0" borderId="49" xfId="0" applyFont="1" applyBorder="1" applyAlignment="1">
      <alignment horizontal="center" vertical="center" wrapText="1" readingOrder="1"/>
    </xf>
    <xf numFmtId="0" fontId="4" fillId="0" borderId="52" xfId="0" applyFont="1" applyBorder="1" applyAlignment="1">
      <alignment horizontal="center" vertical="center" wrapText="1" readingOrder="1"/>
    </xf>
    <xf numFmtId="0" fontId="3" fillId="0" borderId="54" xfId="0" applyFont="1" applyBorder="1" applyAlignment="1">
      <alignment horizontal="center" vertical="center" wrapText="1" readingOrder="1"/>
    </xf>
    <xf numFmtId="0" fontId="3" fillId="0" borderId="47" xfId="0" applyFont="1" applyBorder="1" applyAlignment="1">
      <alignment horizontal="center" vertical="center" wrapText="1" readingOrder="1"/>
    </xf>
    <xf numFmtId="0" fontId="3" fillId="0" borderId="52" xfId="0" applyFont="1" applyBorder="1" applyAlignment="1">
      <alignment horizontal="center" vertical="center" wrapText="1" readingOrder="1"/>
    </xf>
    <xf numFmtId="0" fontId="14" fillId="6" borderId="47" xfId="0" applyFont="1" applyFill="1" applyBorder="1" applyAlignment="1">
      <alignment horizontal="center" vertical="center" wrapText="1" readingOrder="1"/>
    </xf>
    <xf numFmtId="0" fontId="14" fillId="6" borderId="52" xfId="0" applyFont="1" applyFill="1" applyBorder="1" applyAlignment="1">
      <alignment horizontal="center" vertical="center" wrapText="1" readingOrder="1"/>
    </xf>
    <xf numFmtId="0" fontId="14" fillId="0" borderId="47" xfId="0" applyFont="1" applyBorder="1" applyAlignment="1">
      <alignment horizontal="center" vertical="center" wrapText="1" readingOrder="1"/>
    </xf>
    <xf numFmtId="0" fontId="14" fillId="0" borderId="52" xfId="0" applyFont="1" applyBorder="1" applyAlignment="1">
      <alignment horizontal="center" vertical="center" wrapText="1" readingOrder="1"/>
    </xf>
    <xf numFmtId="0" fontId="5" fillId="8" borderId="47" xfId="0" applyFont="1" applyFill="1" applyBorder="1" applyAlignment="1">
      <alignment horizontal="center" vertical="center"/>
    </xf>
    <xf numFmtId="0" fontId="0" fillId="0" borderId="47" xfId="0" applyBorder="1" applyAlignment="1">
      <alignment horizontal="center" vertical="center"/>
    </xf>
    <xf numFmtId="0" fontId="9" fillId="0" borderId="59" xfId="0" applyFont="1" applyBorder="1" applyAlignment="1">
      <alignment horizontal="center" vertical="center"/>
    </xf>
    <xf numFmtId="0" fontId="9" fillId="0" borderId="60" xfId="0" applyFont="1" applyBorder="1" applyAlignment="1">
      <alignment horizontal="center" vertical="center"/>
    </xf>
    <xf numFmtId="0" fontId="9" fillId="0" borderId="60" xfId="0" applyFont="1" applyBorder="1" applyAlignment="1">
      <alignment horizontal="center" vertical="center" wrapText="1"/>
    </xf>
    <xf numFmtId="0" fontId="5" fillId="8" borderId="39" xfId="0" applyFont="1" applyFill="1" applyBorder="1" applyAlignment="1">
      <alignment horizontal="center" vertical="center"/>
    </xf>
    <xf numFmtId="0" fontId="3" fillId="0" borderId="63" xfId="0" applyFont="1" applyBorder="1" applyAlignment="1">
      <alignment horizontal="center" vertical="center" wrapText="1" readingOrder="1"/>
    </xf>
    <xf numFmtId="0" fontId="3" fillId="0" borderId="65" xfId="0" applyFont="1" applyBorder="1" applyAlignment="1">
      <alignment horizontal="center" vertical="center" wrapText="1" readingOrder="1"/>
    </xf>
    <xf numFmtId="0" fontId="3" fillId="0" borderId="4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39" xfId="0" quotePrefix="1" applyFont="1" applyBorder="1" applyAlignment="1">
      <alignment horizontal="center" vertical="center" wrapText="1"/>
    </xf>
    <xf numFmtId="0" fontId="3" fillId="0" borderId="48"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45" xfId="0" quotePrefix="1" applyFont="1" applyBorder="1" applyAlignment="1">
      <alignment horizontal="center" vertical="center" wrapText="1"/>
    </xf>
    <xf numFmtId="0" fontId="3" fillId="0" borderId="53" xfId="0" quotePrefix="1" applyFont="1" applyBorder="1" applyAlignment="1">
      <alignment horizontal="center" vertical="center" wrapText="1"/>
    </xf>
    <xf numFmtId="0" fontId="3" fillId="0" borderId="52" xfId="0" quotePrefix="1" applyFont="1" applyBorder="1" applyAlignment="1">
      <alignment horizontal="center" vertical="center" wrapText="1"/>
    </xf>
    <xf numFmtId="0" fontId="3" fillId="0" borderId="47" xfId="0" applyFont="1" applyBorder="1" applyAlignment="1">
      <alignment horizontal="center" vertical="center" wrapText="1"/>
    </xf>
    <xf numFmtId="0" fontId="14" fillId="6" borderId="47"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52" xfId="0" applyFont="1" applyFill="1" applyBorder="1" applyAlignment="1">
      <alignment horizontal="center" vertical="center" wrapText="1"/>
    </xf>
    <xf numFmtId="0" fontId="3" fillId="0" borderId="52"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52" xfId="0" applyFont="1" applyBorder="1" applyAlignment="1">
      <alignment horizontal="center" vertical="center" wrapText="1"/>
    </xf>
    <xf numFmtId="0" fontId="3" fillId="0" borderId="47" xfId="0" quotePrefix="1" applyFont="1" applyBorder="1" applyAlignment="1">
      <alignment horizontal="center" vertical="center" wrapText="1"/>
    </xf>
    <xf numFmtId="0" fontId="3" fillId="6" borderId="39" xfId="0" quotePrefix="1" applyFont="1" applyFill="1" applyBorder="1" applyAlignment="1">
      <alignment horizontal="center" vertical="center" wrapText="1"/>
    </xf>
    <xf numFmtId="0" fontId="3" fillId="0" borderId="63" xfId="0" quotePrefix="1" applyFont="1" applyBorder="1" applyAlignment="1">
      <alignment horizontal="center" vertical="center" wrapText="1"/>
    </xf>
    <xf numFmtId="0" fontId="0" fillId="0" borderId="1" xfId="0" applyBorder="1"/>
    <xf numFmtId="0" fontId="3" fillId="0" borderId="1" xfId="0" applyFont="1" applyBorder="1" applyAlignment="1">
      <alignment horizontal="center" vertical="center" readingOrder="1"/>
    </xf>
    <xf numFmtId="0" fontId="3" fillId="0" borderId="1" xfId="0" quotePrefix="1" applyFont="1" applyBorder="1" applyAlignment="1">
      <alignment horizontal="center" vertical="center" readingOrder="1"/>
    </xf>
    <xf numFmtId="0" fontId="5" fillId="0" borderId="1" xfId="0" applyFont="1" applyBorder="1" applyAlignment="1">
      <alignment horizontal="center" vertical="center"/>
    </xf>
    <xf numFmtId="0" fontId="17" fillId="0" borderId="0" xfId="0" applyFont="1" applyAlignment="1">
      <alignment vertical="center"/>
    </xf>
    <xf numFmtId="0" fontId="17" fillId="0" borderId="0" xfId="0" applyFont="1"/>
    <xf numFmtId="0" fontId="18" fillId="0" borderId="0" xfId="0" applyFont="1"/>
    <xf numFmtId="0" fontId="3" fillId="9" borderId="47" xfId="0" applyFont="1" applyFill="1" applyBorder="1" applyAlignment="1">
      <alignment horizontal="center" vertical="center" wrapText="1"/>
    </xf>
    <xf numFmtId="0" fontId="3" fillId="9" borderId="47" xfId="0" applyFont="1" applyFill="1" applyBorder="1" applyAlignment="1">
      <alignment horizontal="center" vertical="center" wrapText="1" readingOrder="1"/>
    </xf>
    <xf numFmtId="0" fontId="3" fillId="9" borderId="1" xfId="0" applyFont="1" applyFill="1" applyBorder="1" applyAlignment="1">
      <alignment horizontal="center" vertical="center" wrapText="1"/>
    </xf>
    <xf numFmtId="0" fontId="3" fillId="9" borderId="1" xfId="0" applyFont="1" applyFill="1" applyBorder="1" applyAlignment="1">
      <alignment horizontal="center" vertical="center" wrapText="1" readingOrder="1"/>
    </xf>
    <xf numFmtId="0" fontId="3" fillId="9" borderId="1" xfId="0" quotePrefix="1" applyFont="1" applyFill="1" applyBorder="1" applyAlignment="1">
      <alignment horizontal="center" vertical="center" wrapText="1"/>
    </xf>
    <xf numFmtId="0" fontId="3" fillId="9" borderId="52" xfId="0" quotePrefix="1" applyFont="1" applyFill="1" applyBorder="1" applyAlignment="1">
      <alignment horizontal="center" vertical="center" wrapText="1"/>
    </xf>
    <xf numFmtId="0" fontId="3" fillId="9" borderId="52" xfId="0" applyFont="1" applyFill="1" applyBorder="1" applyAlignment="1">
      <alignment horizontal="center" vertical="center" wrapText="1" readingOrder="1"/>
    </xf>
    <xf numFmtId="0" fontId="14" fillId="9" borderId="47" xfId="0" applyFont="1" applyFill="1" applyBorder="1" applyAlignment="1">
      <alignment horizontal="center" vertical="center" wrapText="1"/>
    </xf>
    <xf numFmtId="0" fontId="14" fillId="9" borderId="47" xfId="0" applyFont="1" applyFill="1" applyBorder="1" applyAlignment="1">
      <alignment horizontal="center" vertical="center" wrapText="1" readingOrder="1"/>
    </xf>
    <xf numFmtId="0" fontId="14" fillId="9" borderId="1" xfId="0" applyFont="1" applyFill="1" applyBorder="1" applyAlignment="1">
      <alignment horizontal="center" vertical="center" wrapText="1"/>
    </xf>
    <xf numFmtId="0" fontId="14" fillId="9" borderId="1" xfId="0" applyFont="1" applyFill="1" applyBorder="1" applyAlignment="1">
      <alignment horizontal="center" vertical="center" wrapText="1" readingOrder="1"/>
    </xf>
    <xf numFmtId="0" fontId="14" fillId="9" borderId="52" xfId="0" applyFont="1" applyFill="1" applyBorder="1" applyAlignment="1">
      <alignment horizontal="center" vertical="center" wrapText="1"/>
    </xf>
    <xf numFmtId="0" fontId="14" fillId="9" borderId="52" xfId="0" applyFont="1" applyFill="1" applyBorder="1" applyAlignment="1">
      <alignment horizontal="center" vertical="center" wrapText="1" readingOrder="1"/>
    </xf>
    <xf numFmtId="0" fontId="0" fillId="0" borderId="71" xfId="0" applyBorder="1" applyAlignment="1">
      <alignment horizontal="center" vertical="center"/>
    </xf>
    <xf numFmtId="0" fontId="0" fillId="0" borderId="72" xfId="0" applyBorder="1" applyAlignment="1">
      <alignment horizontal="center" vertical="center"/>
    </xf>
    <xf numFmtId="0" fontId="0" fillId="0" borderId="73" xfId="0" applyBorder="1" applyAlignment="1">
      <alignment horizontal="center" vertical="center"/>
    </xf>
    <xf numFmtId="0" fontId="3" fillId="0" borderId="74" xfId="0" quotePrefix="1" applyFont="1" applyBorder="1" applyAlignment="1">
      <alignment horizontal="center" vertical="center" wrapText="1"/>
    </xf>
    <xf numFmtId="0" fontId="3" fillId="0" borderId="75" xfId="0" quotePrefix="1" applyFont="1" applyBorder="1" applyAlignment="1">
      <alignment horizontal="center" vertical="center" wrapText="1"/>
    </xf>
    <xf numFmtId="0" fontId="3" fillId="0" borderId="76" xfId="0" quotePrefix="1" applyFont="1" applyBorder="1" applyAlignment="1">
      <alignment horizontal="center" vertical="center" wrapText="1"/>
    </xf>
    <xf numFmtId="0" fontId="3" fillId="0" borderId="74" xfId="0" applyFont="1" applyBorder="1" applyAlignment="1">
      <alignment horizontal="center" vertical="center" wrapText="1" readingOrder="1"/>
    </xf>
    <xf numFmtId="0" fontId="3" fillId="0" borderId="75" xfId="0" applyFont="1" applyBorder="1" applyAlignment="1">
      <alignment horizontal="center" vertical="center" wrapText="1" readingOrder="1"/>
    </xf>
    <xf numFmtId="0" fontId="3" fillId="0" borderId="76" xfId="0" applyFont="1" applyBorder="1" applyAlignment="1">
      <alignment horizontal="center" vertical="center" wrapText="1" readingOrder="1"/>
    </xf>
    <xf numFmtId="0" fontId="0" fillId="0" borderId="0" xfId="0" applyAlignment="1">
      <alignment vertical="center" wrapText="1"/>
    </xf>
    <xf numFmtId="0" fontId="0" fillId="0" borderId="11" xfId="0" applyBorder="1" applyAlignment="1">
      <alignment vertical="center"/>
    </xf>
    <xf numFmtId="14" fontId="0" fillId="0" borderId="9" xfId="0" applyNumberFormat="1" applyBorder="1" applyAlignment="1">
      <alignment horizontal="left" vertical="center"/>
    </xf>
    <xf numFmtId="14" fontId="0" fillId="0" borderId="11" xfId="0" applyNumberFormat="1" applyBorder="1" applyAlignment="1">
      <alignment horizontal="left" vertical="center"/>
    </xf>
    <xf numFmtId="0" fontId="0" fillId="0" borderId="11" xfId="0" applyBorder="1" applyAlignment="1">
      <alignment vertical="center" wrapText="1"/>
    </xf>
    <xf numFmtId="2" fontId="5" fillId="0" borderId="11" xfId="0" applyNumberFormat="1" applyFont="1" applyBorder="1" applyAlignment="1">
      <alignment vertical="center"/>
    </xf>
    <xf numFmtId="0" fontId="0" fillId="0" borderId="81" xfId="0" applyBorder="1" applyAlignment="1">
      <alignment vertical="center"/>
    </xf>
    <xf numFmtId="0" fontId="6" fillId="0" borderId="82" xfId="0" applyFont="1" applyBorder="1" applyAlignment="1">
      <alignment vertical="center" wrapText="1"/>
    </xf>
    <xf numFmtId="0" fontId="20" fillId="0" borderId="0" xfId="0" applyFont="1"/>
    <xf numFmtId="0" fontId="0" fillId="0" borderId="81" xfId="0" applyBorder="1" applyAlignment="1">
      <alignment vertical="center" wrapText="1"/>
    </xf>
    <xf numFmtId="0" fontId="0" fillId="0" borderId="16" xfId="0" applyBorder="1" applyAlignment="1">
      <alignment vertical="center" wrapText="1"/>
    </xf>
    <xf numFmtId="0" fontId="9" fillId="0" borderId="39" xfId="0" applyFont="1" applyBorder="1" applyAlignment="1">
      <alignment horizontal="center" vertical="center" wrapText="1"/>
    </xf>
    <xf numFmtId="0" fontId="12" fillId="0" borderId="39" xfId="0" applyFont="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24" fillId="0" borderId="83" xfId="0" applyFont="1" applyBorder="1" applyAlignment="1">
      <alignment horizontal="center" vertical="center" wrapText="1"/>
    </xf>
    <xf numFmtId="0" fontId="0" fillId="0" borderId="83" xfId="0" applyBorder="1" applyAlignment="1">
      <alignment horizontal="left" wrapText="1"/>
    </xf>
    <xf numFmtId="0" fontId="0" fillId="0" borderId="83" xfId="0" applyBorder="1"/>
    <xf numFmtId="0" fontId="0" fillId="0" borderId="83" xfId="0" applyBorder="1" applyAlignment="1">
      <alignment horizontal="center" vertical="center" wrapText="1"/>
    </xf>
    <xf numFmtId="0" fontId="24" fillId="0" borderId="86" xfId="0" applyFont="1" applyBorder="1" applyAlignment="1">
      <alignment horizontal="left" vertical="center" wrapText="1"/>
    </xf>
    <xf numFmtId="0" fontId="0" fillId="0" borderId="86" xfId="0" applyBorder="1" applyAlignment="1">
      <alignment horizontal="left" wrapText="1"/>
    </xf>
    <xf numFmtId="0" fontId="0" fillId="0" borderId="91" xfId="0" applyBorder="1"/>
    <xf numFmtId="0" fontId="9" fillId="0" borderId="92" xfId="0" applyFont="1" applyBorder="1" applyAlignment="1">
      <alignment horizontal="center" vertical="center" wrapText="1"/>
    </xf>
    <xf numFmtId="0" fontId="9" fillId="0" borderId="83" xfId="0" applyFont="1" applyBorder="1" applyAlignment="1">
      <alignment horizontal="center" vertical="center" wrapText="1"/>
    </xf>
    <xf numFmtId="0" fontId="0" fillId="0" borderId="89" xfId="0" applyBorder="1" applyAlignment="1">
      <alignment vertical="center" wrapText="1"/>
    </xf>
    <xf numFmtId="0" fontId="0" fillId="0" borderId="83" xfId="0" applyBorder="1" applyAlignment="1">
      <alignment horizontal="center" wrapText="1"/>
    </xf>
    <xf numFmtId="0" fontId="0" fillId="0" borderId="84" xfId="0" applyBorder="1" applyAlignment="1">
      <alignment horizontal="center" vertical="center" wrapText="1"/>
    </xf>
    <xf numFmtId="0" fontId="0" fillId="0" borderId="84" xfId="0" applyBorder="1"/>
    <xf numFmtId="0" fontId="0" fillId="0" borderId="86" xfId="0" applyBorder="1"/>
    <xf numFmtId="0" fontId="0" fillId="0" borderId="0" xfId="0" applyAlignment="1">
      <alignment horizontal="left" vertical="top"/>
    </xf>
    <xf numFmtId="0" fontId="0" fillId="0" borderId="83" xfId="0" applyBorder="1" applyAlignment="1">
      <alignment horizontal="center" vertical="center"/>
    </xf>
    <xf numFmtId="0" fontId="5" fillId="0" borderId="83" xfId="0" applyFont="1" applyBorder="1" applyAlignment="1">
      <alignment horizontal="center" vertical="center" wrapText="1"/>
    </xf>
    <xf numFmtId="0" fontId="5" fillId="0" borderId="84" xfId="0" applyFont="1" applyBorder="1" applyAlignment="1">
      <alignment horizontal="center" wrapText="1"/>
    </xf>
    <xf numFmtId="0" fontId="5" fillId="0" borderId="83" xfId="0" applyFont="1" applyBorder="1" applyAlignment="1">
      <alignment horizontal="center" wrapText="1"/>
    </xf>
    <xf numFmtId="0" fontId="0" fillId="0" borderId="83" xfId="0" applyBorder="1" applyAlignment="1">
      <alignment horizontal="left" vertical="top" wrapText="1"/>
    </xf>
    <xf numFmtId="0" fontId="0" fillId="0" borderId="84" xfId="0" applyBorder="1" applyAlignment="1">
      <alignment horizontal="left" vertical="center" wrapText="1"/>
    </xf>
    <xf numFmtId="0" fontId="0" fillId="0" borderId="83" xfId="0" applyBorder="1" applyAlignment="1">
      <alignment wrapText="1"/>
    </xf>
    <xf numFmtId="0" fontId="24" fillId="0" borderId="95" xfId="0" applyFont="1" applyBorder="1" applyAlignment="1">
      <alignment horizontal="center" vertical="center" wrapText="1"/>
    </xf>
    <xf numFmtId="0" fontId="0" fillId="0" borderId="95" xfId="0" applyBorder="1" applyAlignment="1">
      <alignment horizontal="center" vertical="center"/>
    </xf>
    <xf numFmtId="0" fontId="0" fillId="0" borderId="83" xfId="0" applyBorder="1" applyAlignment="1">
      <alignment horizontal="left"/>
    </xf>
    <xf numFmtId="0" fontId="25" fillId="0" borderId="0" xfId="0" applyFont="1"/>
    <xf numFmtId="0" fontId="0" fillId="0" borderId="91" xfId="0" applyBorder="1" applyAlignment="1">
      <alignment horizontal="center"/>
    </xf>
    <xf numFmtId="0" fontId="0" fillId="0" borderId="83" xfId="0" applyBorder="1" applyAlignment="1">
      <alignment horizontal="right" wrapText="1"/>
    </xf>
    <xf numFmtId="0" fontId="11" fillId="0" borderId="24" xfId="0" applyFont="1" applyBorder="1" applyAlignment="1">
      <alignment horizontal="center" vertical="center" wrapText="1"/>
    </xf>
    <xf numFmtId="0" fontId="11" fillId="0" borderId="18" xfId="0" applyFont="1" applyBorder="1" applyAlignment="1">
      <alignment horizontal="center" vertical="center" wrapText="1"/>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25" fillId="5" borderId="93" xfId="0" applyFont="1" applyFill="1" applyBorder="1" applyAlignment="1">
      <alignment horizontal="center" vertical="center"/>
    </xf>
    <xf numFmtId="0" fontId="2" fillId="5" borderId="94" xfId="0" applyFont="1" applyFill="1" applyBorder="1" applyAlignment="1">
      <alignment horizontal="center"/>
    </xf>
    <xf numFmtId="0" fontId="0" fillId="5" borderId="94" xfId="0" applyFill="1" applyBorder="1" applyAlignment="1">
      <alignment horizontal="center"/>
    </xf>
    <xf numFmtId="0" fontId="24" fillId="0" borderId="84" xfId="0" applyFont="1" applyBorder="1" applyAlignment="1">
      <alignment horizontal="left" vertical="center" wrapText="1"/>
    </xf>
    <xf numFmtId="0" fontId="24" fillId="0" borderId="90" xfId="0" applyFont="1" applyBorder="1" applyAlignment="1">
      <alignment horizontal="left" vertical="center" wrapText="1"/>
    </xf>
    <xf numFmtId="0" fontId="0" fillId="0" borderId="84" xfId="0" applyBorder="1" applyAlignment="1">
      <alignment horizontal="center"/>
    </xf>
    <xf numFmtId="0" fontId="0" fillId="0" borderId="90" xfId="0" applyBorder="1" applyAlignment="1">
      <alignment horizontal="center"/>
    </xf>
    <xf numFmtId="0" fontId="0" fillId="0" borderId="84" xfId="0" applyBorder="1"/>
    <xf numFmtId="0" fontId="0" fillId="0" borderId="90" xfId="0" applyBorder="1"/>
    <xf numFmtId="0" fontId="24" fillId="0" borderId="85" xfId="0" applyFont="1" applyBorder="1" applyAlignment="1">
      <alignment horizontal="left" vertical="center" wrapText="1"/>
    </xf>
    <xf numFmtId="0" fontId="0" fillId="0" borderId="85" xfId="0" applyBorder="1" applyAlignment="1">
      <alignment horizontal="center"/>
    </xf>
    <xf numFmtId="0" fontId="0" fillId="0" borderId="0" xfId="0" applyAlignment="1">
      <alignment horizontal="center"/>
    </xf>
    <xf numFmtId="0" fontId="24" fillId="0" borderId="84" xfId="0" applyFont="1" applyBorder="1" applyAlignment="1">
      <alignment horizontal="center" vertical="center" wrapText="1"/>
    </xf>
    <xf numFmtId="0" fontId="24" fillId="0" borderId="85" xfId="0" applyFont="1" applyBorder="1" applyAlignment="1">
      <alignment horizontal="center" vertical="center" wrapText="1"/>
    </xf>
    <xf numFmtId="0" fontId="24" fillId="0" borderId="90" xfId="0" applyFont="1" applyBorder="1" applyAlignment="1">
      <alignment horizontal="center" vertical="center" wrapText="1"/>
    </xf>
    <xf numFmtId="0" fontId="0" fillId="0" borderId="87" xfId="0" applyBorder="1" applyAlignment="1">
      <alignment horizontal="left" vertical="center" wrapText="1"/>
    </xf>
    <xf numFmtId="0" fontId="0" fillId="0" borderId="88" xfId="0" applyBorder="1" applyAlignment="1">
      <alignment horizontal="left" vertical="center" wrapText="1"/>
    </xf>
    <xf numFmtId="0" fontId="0" fillId="0" borderId="89" xfId="0" applyBorder="1" applyAlignment="1">
      <alignment horizontal="left" vertical="center" wrapText="1"/>
    </xf>
    <xf numFmtId="0" fontId="22" fillId="6" borderId="84" xfId="0" applyFont="1" applyFill="1" applyBorder="1" applyAlignment="1">
      <alignment horizontal="center" vertical="center" wrapText="1"/>
    </xf>
    <xf numFmtId="0" fontId="22" fillId="6" borderId="85" xfId="0" applyFont="1" applyFill="1" applyBorder="1" applyAlignment="1">
      <alignment horizontal="center" vertical="center" wrapText="1"/>
    </xf>
    <xf numFmtId="0" fontId="22" fillId="6" borderId="90" xfId="0" applyFont="1" applyFill="1" applyBorder="1" applyAlignment="1">
      <alignment horizontal="center" vertical="center" wrapText="1"/>
    </xf>
    <xf numFmtId="0" fontId="0" fillId="0" borderId="85" xfId="0" applyBorder="1"/>
    <xf numFmtId="0" fontId="0" fillId="0" borderId="84" xfId="0" applyBorder="1" applyAlignment="1">
      <alignment horizontal="right"/>
    </xf>
    <xf numFmtId="0" fontId="0" fillId="0" borderId="85" xfId="0" applyBorder="1" applyAlignment="1">
      <alignment horizontal="right"/>
    </xf>
    <xf numFmtId="0" fontId="0" fillId="0" borderId="90" xfId="0" applyBorder="1" applyAlignment="1">
      <alignment horizontal="right"/>
    </xf>
    <xf numFmtId="0" fontId="5" fillId="0" borderId="84" xfId="0" applyFont="1" applyBorder="1" applyAlignment="1">
      <alignment horizontal="center" vertical="center" wrapText="1"/>
    </xf>
    <xf numFmtId="0" fontId="5" fillId="0" borderId="85" xfId="0" applyFont="1" applyBorder="1" applyAlignment="1">
      <alignment horizontal="center" vertical="center" wrapText="1"/>
    </xf>
    <xf numFmtId="0" fontId="5" fillId="0" borderId="90" xfId="0" applyFont="1" applyBorder="1" applyAlignment="1">
      <alignment horizontal="center" vertical="center" wrapText="1"/>
    </xf>
    <xf numFmtId="0" fontId="23" fillId="0" borderId="84" xfId="0" applyFont="1" applyBorder="1" applyAlignment="1">
      <alignment horizontal="center" vertical="center" wrapText="1"/>
    </xf>
    <xf numFmtId="0" fontId="23" fillId="0" borderId="85" xfId="0" applyFont="1" applyBorder="1" applyAlignment="1">
      <alignment horizontal="center" vertical="center" wrapText="1"/>
    </xf>
    <xf numFmtId="0" fontId="23" fillId="0" borderId="90" xfId="0" applyFont="1" applyBorder="1" applyAlignment="1">
      <alignment horizontal="center" vertical="center" wrapText="1"/>
    </xf>
    <xf numFmtId="0" fontId="0" fillId="0" borderId="84" xfId="0" applyBorder="1" applyAlignment="1">
      <alignment horizontal="left" vertical="center" wrapText="1"/>
    </xf>
    <xf numFmtId="0" fontId="0" fillId="0" borderId="90" xfId="0" applyBorder="1" applyAlignment="1">
      <alignment horizontal="left" vertical="center" wrapText="1"/>
    </xf>
    <xf numFmtId="0" fontId="4" fillId="5" borderId="40" xfId="0" applyFont="1" applyFill="1" applyBorder="1" applyAlignment="1">
      <alignment horizontal="center" vertical="center" wrapText="1" readingOrder="1"/>
    </xf>
    <xf numFmtId="0" fontId="4" fillId="5" borderId="1" xfId="0" applyFont="1" applyFill="1" applyBorder="1" applyAlignment="1">
      <alignment horizontal="center" vertical="center" wrapText="1" readingOrder="1"/>
    </xf>
    <xf numFmtId="0" fontId="4" fillId="5" borderId="39" xfId="0" applyFont="1" applyFill="1" applyBorder="1" applyAlignment="1">
      <alignment horizontal="center" vertical="center" wrapText="1" readingOrder="1"/>
    </xf>
    <xf numFmtId="0" fontId="4" fillId="0" borderId="40"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4" fillId="0" borderId="39" xfId="0" applyFont="1" applyBorder="1" applyAlignment="1">
      <alignment horizontal="center" vertical="center" wrapText="1" readingOrder="1"/>
    </xf>
    <xf numFmtId="0" fontId="4" fillId="9" borderId="47" xfId="0" applyFont="1" applyFill="1" applyBorder="1" applyAlignment="1">
      <alignment horizontal="center" vertical="center" wrapText="1" readingOrder="1"/>
    </xf>
    <xf numFmtId="0" fontId="4" fillId="9" borderId="1" xfId="0" applyFont="1" applyFill="1" applyBorder="1" applyAlignment="1">
      <alignment horizontal="center" vertical="center" wrapText="1" readingOrder="1"/>
    </xf>
    <xf numFmtId="0" fontId="4" fillId="9" borderId="52" xfId="0" applyFont="1" applyFill="1" applyBorder="1" applyAlignment="1">
      <alignment horizontal="center" vertical="center" wrapText="1" readingOrder="1"/>
    </xf>
    <xf numFmtId="0" fontId="19" fillId="9" borderId="55" xfId="0" applyFont="1" applyFill="1" applyBorder="1" applyAlignment="1">
      <alignment horizontal="center" vertical="center"/>
    </xf>
    <xf numFmtId="0" fontId="19" fillId="9" borderId="56" xfId="0" applyFont="1" applyFill="1" applyBorder="1" applyAlignment="1">
      <alignment horizontal="center" vertical="center"/>
    </xf>
    <xf numFmtId="0" fontId="19" fillId="9" borderId="57" xfId="0" applyFont="1" applyFill="1" applyBorder="1" applyAlignment="1">
      <alignment horizontal="center" vertical="center"/>
    </xf>
    <xf numFmtId="0" fontId="0" fillId="0" borderId="62" xfId="0" applyBorder="1" applyAlignment="1">
      <alignment horizontal="center" vertical="center"/>
    </xf>
    <xf numFmtId="0" fontId="0" fillId="0" borderId="43" xfId="0" applyBorder="1" applyAlignment="1">
      <alignment horizontal="center" vertical="center"/>
    </xf>
    <xf numFmtId="0" fontId="0" fillId="0" borderId="64" xfId="0" applyBorder="1" applyAlignment="1">
      <alignment horizontal="center" vertical="center"/>
    </xf>
    <xf numFmtId="0" fontId="4" fillId="5" borderId="63" xfId="0" applyFont="1" applyFill="1" applyBorder="1" applyAlignment="1">
      <alignment horizontal="center" vertical="center" wrapText="1" readingOrder="1"/>
    </xf>
    <xf numFmtId="0" fontId="4" fillId="5" borderId="65" xfId="0" applyFont="1" applyFill="1" applyBorder="1" applyAlignment="1">
      <alignment horizontal="center" vertical="center" wrapText="1" readingOrder="1"/>
    </xf>
    <xf numFmtId="0" fontId="4" fillId="5" borderId="47" xfId="0" applyFont="1" applyFill="1" applyBorder="1" applyAlignment="1">
      <alignment horizontal="center" vertical="center" wrapText="1" readingOrder="1"/>
    </xf>
    <xf numFmtId="0" fontId="4" fillId="0" borderId="63" xfId="0" applyFont="1" applyBorder="1" applyAlignment="1">
      <alignment horizontal="center" vertical="center" wrapText="1" readingOrder="1"/>
    </xf>
    <xf numFmtId="0" fontId="4" fillId="0" borderId="65" xfId="0" applyFont="1" applyBorder="1" applyAlignment="1">
      <alignment horizontal="center" vertical="center" wrapText="1" readingOrder="1"/>
    </xf>
    <xf numFmtId="0" fontId="2" fillId="0" borderId="42" xfId="0" applyFont="1" applyBorder="1" applyAlignment="1">
      <alignment horizontal="center" vertical="center" wrapText="1"/>
    </xf>
    <xf numFmtId="0" fontId="2" fillId="0" borderId="0" xfId="0" applyFont="1" applyAlignment="1">
      <alignment horizontal="center" vertical="center" wrapText="1"/>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57" xfId="0" applyFont="1" applyBorder="1" applyAlignment="1">
      <alignment horizontal="left" vertical="center" wrapText="1"/>
    </xf>
    <xf numFmtId="0" fontId="0" fillId="0" borderId="46"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4" fillId="5" borderId="52" xfId="0" applyFont="1" applyFill="1" applyBorder="1" applyAlignment="1">
      <alignment horizontal="center" vertical="center" wrapText="1" readingOrder="1"/>
    </xf>
    <xf numFmtId="0" fontId="0" fillId="9" borderId="46" xfId="0" applyFill="1" applyBorder="1" applyAlignment="1">
      <alignment horizontal="center" vertical="center"/>
    </xf>
    <xf numFmtId="0" fontId="0" fillId="9" borderId="50" xfId="0" applyFill="1" applyBorder="1" applyAlignment="1">
      <alignment horizontal="center" vertical="center"/>
    </xf>
    <xf numFmtId="0" fontId="0" fillId="9" borderId="51" xfId="0" applyFill="1" applyBorder="1" applyAlignment="1">
      <alignment horizontal="center" vertical="center"/>
    </xf>
    <xf numFmtId="0" fontId="0" fillId="0" borderId="61" xfId="0" applyBorder="1" applyAlignment="1">
      <alignment horizontal="center" vertical="center"/>
    </xf>
    <xf numFmtId="0" fontId="0" fillId="0" borderId="58" xfId="0" applyBorder="1" applyAlignment="1">
      <alignment horizontal="center" vertical="center"/>
    </xf>
    <xf numFmtId="0" fontId="0" fillId="0" borderId="44" xfId="0" applyBorder="1" applyAlignment="1">
      <alignment horizontal="center" vertical="center"/>
    </xf>
    <xf numFmtId="0" fontId="4" fillId="0" borderId="47" xfId="0" applyFont="1" applyBorder="1" applyAlignment="1">
      <alignment horizontal="center" vertical="center" wrapText="1" readingOrder="1"/>
    </xf>
    <xf numFmtId="0" fontId="4" fillId="0" borderId="52" xfId="0" applyFont="1" applyBorder="1" applyAlignment="1">
      <alignment horizontal="center" vertical="center" wrapText="1" readingOrder="1"/>
    </xf>
    <xf numFmtId="0" fontId="13" fillId="0" borderId="47" xfId="0" applyFont="1" applyBorder="1" applyAlignment="1">
      <alignment horizontal="center" vertical="center" wrapText="1" readingOrder="1"/>
    </xf>
    <xf numFmtId="0" fontId="13" fillId="0" borderId="52" xfId="0" applyFont="1" applyBorder="1" applyAlignment="1">
      <alignment horizontal="center" vertical="center" wrapText="1" readingOrder="1"/>
    </xf>
    <xf numFmtId="0" fontId="13" fillId="9" borderId="47" xfId="0" applyFont="1" applyFill="1" applyBorder="1" applyAlignment="1">
      <alignment horizontal="center" vertical="center" wrapText="1" readingOrder="1"/>
    </xf>
    <xf numFmtId="0" fontId="13" fillId="9" borderId="1" xfId="0" applyFont="1" applyFill="1" applyBorder="1" applyAlignment="1">
      <alignment horizontal="center" vertical="center" wrapText="1" readingOrder="1"/>
    </xf>
    <xf numFmtId="0" fontId="13" fillId="9" borderId="52" xfId="0" applyFont="1" applyFill="1" applyBorder="1" applyAlignment="1">
      <alignment horizontal="center" vertical="center" wrapText="1" readingOrder="1"/>
    </xf>
    <xf numFmtId="0" fontId="10" fillId="9" borderId="46" xfId="0" applyFont="1" applyFill="1" applyBorder="1" applyAlignment="1">
      <alignment horizontal="center" vertical="center"/>
    </xf>
    <xf numFmtId="0" fontId="10" fillId="9" borderId="50" xfId="0" applyFont="1" applyFill="1" applyBorder="1" applyAlignment="1">
      <alignment horizontal="center" vertical="center"/>
    </xf>
    <xf numFmtId="0" fontId="10" fillId="9" borderId="51" xfId="0" applyFont="1" applyFill="1" applyBorder="1" applyAlignment="1">
      <alignment horizontal="center" vertical="center"/>
    </xf>
    <xf numFmtId="0" fontId="13" fillId="5" borderId="47" xfId="0" applyFont="1" applyFill="1" applyBorder="1" applyAlignment="1">
      <alignment horizontal="center" vertical="center" wrapText="1" readingOrder="1"/>
    </xf>
    <xf numFmtId="0" fontId="13" fillId="5" borderId="52" xfId="0" applyFont="1" applyFill="1" applyBorder="1" applyAlignment="1">
      <alignment horizontal="center" vertical="center" wrapText="1" readingOrder="1"/>
    </xf>
    <xf numFmtId="0" fontId="0" fillId="0" borderId="55" xfId="0" applyBorder="1" applyAlignment="1">
      <alignment horizontal="center"/>
    </xf>
    <xf numFmtId="0" fontId="0" fillId="0" borderId="56" xfId="0" applyBorder="1" applyAlignment="1">
      <alignment horizontal="center"/>
    </xf>
    <xf numFmtId="0" fontId="0" fillId="0" borderId="57" xfId="0" applyBorder="1" applyAlignment="1">
      <alignment horizontal="center"/>
    </xf>
    <xf numFmtId="0" fontId="0" fillId="0" borderId="55" xfId="0" applyBorder="1" applyAlignment="1">
      <alignment horizontal="left" vertical="top" wrapText="1"/>
    </xf>
    <xf numFmtId="0" fontId="0" fillId="0" borderId="80" xfId="0" applyBorder="1" applyAlignment="1">
      <alignment horizontal="left" vertical="top"/>
    </xf>
    <xf numFmtId="0" fontId="0" fillId="0" borderId="66" xfId="0" applyBorder="1" applyAlignment="1">
      <alignment horizontal="center"/>
    </xf>
    <xf numFmtId="0" fontId="0" fillId="0" borderId="67" xfId="0" applyBorder="1" applyAlignment="1">
      <alignment horizontal="center"/>
    </xf>
    <xf numFmtId="0" fontId="0" fillId="0" borderId="68" xfId="0" applyBorder="1" applyAlignment="1">
      <alignment horizontal="center"/>
    </xf>
    <xf numFmtId="0" fontId="17" fillId="0" borderId="0" xfId="0" applyFont="1" applyAlignment="1">
      <alignment horizontal="left" wrapText="1"/>
    </xf>
    <xf numFmtId="0" fontId="0" fillId="0" borderId="77" xfId="0" applyBorder="1" applyAlignment="1">
      <alignment horizontal="center" vertical="center" wrapText="1"/>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69" xfId="0" applyBorder="1" applyAlignment="1">
      <alignment horizontal="center" vertical="center" wrapText="1"/>
    </xf>
    <xf numFmtId="0" fontId="0" fillId="0" borderId="67" xfId="0" applyBorder="1" applyAlignment="1">
      <alignment horizontal="center" vertical="center" wrapText="1"/>
    </xf>
    <xf numFmtId="0" fontId="0" fillId="0" borderId="70"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10"/>
  <sheetViews>
    <sheetView workbookViewId="0">
      <selection activeCell="C10" sqref="C10"/>
    </sheetView>
  </sheetViews>
  <sheetFormatPr defaultColWidth="9.21875" defaultRowHeight="14.4"/>
  <cols>
    <col min="1" max="1" width="2.21875" style="3" customWidth="1"/>
    <col min="2" max="2" width="23.77734375" style="3" bestFit="1" customWidth="1"/>
    <col min="3" max="3" width="53.5546875" style="3" customWidth="1"/>
    <col min="4" max="16384" width="9.21875" style="3"/>
  </cols>
  <sheetData>
    <row r="1" spans="2:3" ht="15" thickBot="1"/>
    <row r="2" spans="2:3" ht="21.75" customHeight="1" thickBot="1">
      <c r="B2" s="163" t="s">
        <v>0</v>
      </c>
      <c r="C2" s="164"/>
    </row>
    <row r="3" spans="2:3">
      <c r="B3" s="32" t="s">
        <v>1</v>
      </c>
      <c r="C3" s="122" t="s">
        <v>2</v>
      </c>
    </row>
    <row r="4" spans="2:3">
      <c r="B4" s="33" t="s">
        <v>3</v>
      </c>
      <c r="C4" s="121" t="s">
        <v>2</v>
      </c>
    </row>
    <row r="5" spans="2:3">
      <c r="B5" s="33" t="s">
        <v>4</v>
      </c>
      <c r="C5" s="125" t="s">
        <v>5</v>
      </c>
    </row>
    <row r="6" spans="2:3">
      <c r="B6" s="33" t="s">
        <v>6</v>
      </c>
      <c r="C6" s="121" t="s">
        <v>2</v>
      </c>
    </row>
    <row r="7" spans="2:3">
      <c r="B7" s="33" t="s">
        <v>7</v>
      </c>
      <c r="C7" s="123" t="s">
        <v>2</v>
      </c>
    </row>
    <row r="8" spans="2:3">
      <c r="B8" s="33" t="s">
        <v>8</v>
      </c>
      <c r="C8" s="121" t="s">
        <v>9</v>
      </c>
    </row>
    <row r="9" spans="2:3" ht="28.8">
      <c r="B9" s="33" t="s">
        <v>10</v>
      </c>
      <c r="C9" s="124" t="s">
        <v>11</v>
      </c>
    </row>
    <row r="10" spans="2:3" ht="15" thickBot="1">
      <c r="B10" s="34" t="s">
        <v>12</v>
      </c>
      <c r="C10" s="17"/>
    </row>
  </sheetData>
  <mergeCells count="1">
    <mergeCell ref="B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I71"/>
  <sheetViews>
    <sheetView zoomScaleNormal="100" workbookViewId="0">
      <selection activeCell="D3" sqref="D3"/>
    </sheetView>
  </sheetViews>
  <sheetFormatPr defaultRowHeight="14.4"/>
  <cols>
    <col min="1" max="1" width="1.5546875" customWidth="1"/>
    <col min="2" max="2" width="6.21875" customWidth="1"/>
    <col min="3" max="3" width="57.77734375" customWidth="1"/>
    <col min="4" max="4" width="35.5546875" bestFit="1" customWidth="1"/>
    <col min="5" max="5" width="12.21875" bestFit="1" customWidth="1"/>
    <col min="6" max="6" width="6.21875" customWidth="1"/>
    <col min="7" max="7" width="5.5546875" bestFit="1" customWidth="1"/>
    <col min="8" max="8" width="8.44140625" bestFit="1" customWidth="1"/>
    <col min="9" max="9" width="15.21875" bestFit="1" customWidth="1"/>
    <col min="10" max="10" width="15.77734375" customWidth="1"/>
    <col min="11" max="11" width="13.5546875" bestFit="1" customWidth="1"/>
    <col min="12" max="12" width="18.77734375" bestFit="1" customWidth="1"/>
  </cols>
  <sheetData>
    <row r="1" spans="2:9" ht="15" thickBot="1"/>
    <row r="2" spans="2:9" ht="16.2" thickBot="1">
      <c r="B2" s="37" t="s">
        <v>13</v>
      </c>
      <c r="C2" s="37" t="s">
        <v>14</v>
      </c>
      <c r="D2" s="39" t="s">
        <v>15</v>
      </c>
      <c r="E2" s="40" t="s">
        <v>16</v>
      </c>
      <c r="H2" s="165" t="s">
        <v>17</v>
      </c>
      <c r="I2" s="6" t="s">
        <v>18</v>
      </c>
    </row>
    <row r="3" spans="2:9" ht="15" thickBot="1">
      <c r="B3" s="38">
        <v>1</v>
      </c>
      <c r="C3" s="41" t="str">
        <f>Rules!C4</f>
        <v>Objects - Total Screens/UI</v>
      </c>
      <c r="D3" s="31" t="s">
        <v>122</v>
      </c>
      <c r="E3" s="42">
        <f>VLOOKUP(D3,Rules!E4:F8,2,FALSE)</f>
        <v>0</v>
      </c>
      <c r="H3" s="166"/>
      <c r="I3" s="7" t="s">
        <v>20</v>
      </c>
    </row>
    <row r="4" spans="2:9" ht="15" thickBot="1">
      <c r="B4" s="38">
        <v>2</v>
      </c>
      <c r="C4" s="35" t="str">
        <f>Rules!C9</f>
        <v>Business/Validation - Decisions/Rules</v>
      </c>
      <c r="D4" s="31" t="s">
        <v>128</v>
      </c>
      <c r="E4" s="43">
        <f>VLOOKUP(D4,Rules!E9:F13,2,FALSE)</f>
        <v>1</v>
      </c>
    </row>
    <row r="5" spans="2:9" ht="15" thickBot="1">
      <c r="B5" s="38">
        <v>3</v>
      </c>
      <c r="C5" s="35" t="str">
        <f>Rules!C14</f>
        <v>Interface DB - DB Queries</v>
      </c>
      <c r="D5" s="31" t="s">
        <v>24</v>
      </c>
      <c r="E5" s="43">
        <f>VLOOKUP(D5,Rules!E14:F18,2,FALSE)</f>
        <v>1</v>
      </c>
    </row>
    <row r="6" spans="2:9" ht="15" thickBot="1">
      <c r="B6" s="38">
        <v>4</v>
      </c>
      <c r="C6" s="35" t="str">
        <f>Rules!C19</f>
        <v>Process Design - Total Process Steps</v>
      </c>
      <c r="D6" s="31" t="s">
        <v>148</v>
      </c>
      <c r="E6" s="43">
        <f>VLOOKUP(D6,Rules!E19:F27,2,FALSE)</f>
        <v>6</v>
      </c>
    </row>
    <row r="7" spans="2:9" ht="15" thickBot="1">
      <c r="B7" s="38">
        <v>5</v>
      </c>
      <c r="C7" s="35" t="str">
        <f>Rules!C32</f>
        <v>File Process - Excel sheets</v>
      </c>
      <c r="D7" s="31" t="s">
        <v>156</v>
      </c>
      <c r="E7" s="43">
        <f>VLOOKUP(D7,Rules!E32:F36,2,FALSE)</f>
        <v>1</v>
      </c>
    </row>
    <row r="8" spans="2:9" ht="29.4" thickBot="1">
      <c r="B8" s="38">
        <v>6</v>
      </c>
      <c r="C8" s="35" t="str">
        <f>Rules!C37</f>
        <v>File Process - Word/Pdf/Power Point</v>
      </c>
      <c r="D8" s="31" t="s">
        <v>163</v>
      </c>
      <c r="E8" s="43">
        <f>VLOOKUP(D8,Rules!E37:F40,2,FALSE)</f>
        <v>3</v>
      </c>
    </row>
    <row r="9" spans="2:9" ht="15" thickBot="1">
      <c r="B9" s="38">
        <v>7</v>
      </c>
      <c r="C9" s="35" t="str">
        <f>Rules!C41</f>
        <v>Reports Creation/updation - Bot Execution Report/Metrics Report</v>
      </c>
      <c r="D9" s="31" t="s">
        <v>29</v>
      </c>
      <c r="E9" s="43">
        <f>VLOOKUP(D9,Rules!E41:F45,2,FALSE)</f>
        <v>0</v>
      </c>
    </row>
    <row r="10" spans="2:9" ht="15" thickBot="1">
      <c r="B10" s="38">
        <v>8</v>
      </c>
      <c r="C10" s="35" t="str">
        <f>Rules!C46</f>
        <v>Exception Handling (Business/System)</v>
      </c>
      <c r="D10" s="31" t="s">
        <v>171</v>
      </c>
      <c r="E10" s="43">
        <f>VLOOKUP(D10,Rules!E46:F50,2,FALSE)</f>
        <v>1</v>
      </c>
    </row>
    <row r="11" spans="2:9" ht="15" thickBot="1">
      <c r="B11" s="38">
        <v>9</v>
      </c>
      <c r="C11" s="36" t="str">
        <f>Rules!C55</f>
        <v>Target Application UI access mode</v>
      </c>
      <c r="D11" s="31" t="s">
        <v>31</v>
      </c>
      <c r="E11" s="43">
        <f>VLOOKUP(D11,Rules!E55:F56,2,FALSE)</f>
        <v>0</v>
      </c>
    </row>
    <row r="12" spans="2:9" ht="15" thickBot="1">
      <c r="B12" s="38">
        <v>10</v>
      </c>
      <c r="C12" s="35" t="str">
        <f>Rules!C57</f>
        <v>Automation Scripting - No. of Scripts need to be build</v>
      </c>
      <c r="D12" s="31" t="s">
        <v>32</v>
      </c>
      <c r="E12" s="43">
        <f>VLOOKUP(D12,Rules!E57:F61,2,FALSE)</f>
        <v>1</v>
      </c>
    </row>
    <row r="13" spans="2:9" ht="15" thickBot="1">
      <c r="B13" s="38">
        <v>11</v>
      </c>
      <c r="C13" s="35" t="str">
        <f>Rules!C62</f>
        <v xml:space="preserve">Reusable Modules </v>
      </c>
      <c r="D13" s="31" t="s">
        <v>185</v>
      </c>
      <c r="E13" s="43">
        <f>VLOOKUP(D13,Rules!E62:F64,2,FALSE)</f>
        <v>0</v>
      </c>
    </row>
    <row r="14" spans="2:9" ht="15" thickBot="1">
      <c r="B14" s="38">
        <v>12</v>
      </c>
      <c r="C14" s="35" t="str">
        <f>Rules!C65</f>
        <v>API Interfaces - No of Interface in user story</v>
      </c>
      <c r="D14" s="31" t="s">
        <v>34</v>
      </c>
      <c r="E14" s="43">
        <f>VLOOKUP(D14,Rules!E65:F69,2,FALSE)</f>
        <v>0</v>
      </c>
    </row>
    <row r="15" spans="2:9" ht="15" thickBot="1">
      <c r="B15" s="38">
        <v>13</v>
      </c>
      <c r="C15" s="35" t="str">
        <f>Rules!C70</f>
        <v>Understanding existing automation (atmx) E2E (Enh. only)</v>
      </c>
      <c r="D15" s="31" t="s">
        <v>35</v>
      </c>
      <c r="E15" s="43">
        <f>VLOOKUP(D15,Rules!E70:F73,2,FALSE)</f>
        <v>0</v>
      </c>
    </row>
    <row r="16" spans="2:9" ht="15" thickBot="1">
      <c r="B16" s="38">
        <v>14</v>
      </c>
      <c r="C16" s="35" t="str">
        <f>Rules!C74</f>
        <v>Understanding existing Macro/Other Scripts E2E (Enh. only)</v>
      </c>
      <c r="D16" s="31" t="s">
        <v>198</v>
      </c>
      <c r="E16" s="43">
        <f>VLOOKUP(D16,Rules!E74:F77,2,FALSE)</f>
        <v>0</v>
      </c>
    </row>
    <row r="17" spans="2:7" ht="15" thickBot="1">
      <c r="B17" s="38">
        <v>15</v>
      </c>
      <c r="C17" s="35" t="str">
        <f>Rules!C78</f>
        <v>Environment Readiness for Dev/QA/Prod</v>
      </c>
      <c r="D17" s="31" t="s">
        <v>37</v>
      </c>
      <c r="E17" s="43">
        <f>VLOOKUP(D17,Rules!E78:F79,2,FALSE)</f>
        <v>1</v>
      </c>
    </row>
    <row r="18" spans="2:7" ht="29.4" thickBot="1">
      <c r="B18" s="38">
        <v>16</v>
      </c>
      <c r="C18" s="44" t="str">
        <f>Rules!C80</f>
        <v>Solution Design (SDD)</v>
      </c>
      <c r="D18" s="45" t="s">
        <v>203</v>
      </c>
      <c r="E18" s="46">
        <f>VLOOKUP(D18,Rules!E80:F83,2,FALSE)</f>
        <v>2</v>
      </c>
      <c r="F18" t="s">
        <v>39</v>
      </c>
    </row>
    <row r="19" spans="2:7" ht="15" thickBot="1">
      <c r="B19" s="38">
        <v>17</v>
      </c>
      <c r="C19" s="44" t="str">
        <f>Rules!C84</f>
        <v xml:space="preserve">Test Case Document &amp; QAT </v>
      </c>
      <c r="D19" s="45" t="s">
        <v>207</v>
      </c>
      <c r="E19" s="46">
        <f>VLOOKUP(D19,Rules!E84:F88,2,FALSE)</f>
        <v>1</v>
      </c>
    </row>
    <row r="20" spans="2:7" ht="15" thickBot="1">
      <c r="D20" s="27" t="s">
        <v>41</v>
      </c>
      <c r="E20" s="28">
        <f>ROUND(SUM(E3:E19),0)</f>
        <v>18</v>
      </c>
    </row>
    <row r="21" spans="2:7" ht="15" thickBot="1">
      <c r="D21" s="4"/>
      <c r="E21" s="4"/>
    </row>
    <row r="22" spans="2:7" ht="18.600000000000001" thickBot="1">
      <c r="D22" s="29" t="s">
        <v>42</v>
      </c>
      <c r="E22" s="30" t="str">
        <f>IF(E20/E25 &lt;=D25,C25,IF(E20/E25&lt;=D26,C26,IF(E20/E25&lt;=D27,C27,#REF!)))</f>
        <v>Medium</v>
      </c>
      <c r="F22" s="5"/>
      <c r="G22" s="5"/>
    </row>
    <row r="23" spans="2:7" ht="15" thickBot="1"/>
    <row r="24" spans="2:7">
      <c r="C24" s="24" t="s">
        <v>43</v>
      </c>
      <c r="D24" s="25" t="s">
        <v>44</v>
      </c>
      <c r="E24" s="26" t="s">
        <v>16</v>
      </c>
    </row>
    <row r="25" spans="2:7">
      <c r="C25" s="22" t="s">
        <v>45</v>
      </c>
      <c r="D25" s="2">
        <v>1</v>
      </c>
      <c r="E25" s="19">
        <v>15</v>
      </c>
    </row>
    <row r="26" spans="2:7">
      <c r="C26" s="22" t="s">
        <v>46</v>
      </c>
      <c r="D26" s="2">
        <v>2</v>
      </c>
      <c r="E26" s="19">
        <v>30</v>
      </c>
    </row>
    <row r="27" spans="2:7" ht="15" thickBot="1">
      <c r="C27" s="23" t="s">
        <v>5</v>
      </c>
      <c r="D27" s="20">
        <v>4</v>
      </c>
      <c r="E27" s="21">
        <v>60</v>
      </c>
    </row>
    <row r="45" spans="8:8" ht="15.6">
      <c r="H45" s="1"/>
    </row>
    <row r="46" spans="8:8" ht="15.6">
      <c r="H46" s="1"/>
    </row>
    <row r="47" spans="8:8" ht="15.6">
      <c r="H47" s="1"/>
    </row>
    <row r="48" spans="8:8" ht="15.6">
      <c r="H48" s="1"/>
    </row>
    <row r="49" spans="8:8" ht="15.6">
      <c r="H49" s="1"/>
    </row>
    <row r="50" spans="8:8" ht="15.6">
      <c r="H50" s="1"/>
    </row>
    <row r="51" spans="8:8" ht="15.6">
      <c r="H51" s="1"/>
    </row>
    <row r="52" spans="8:8" ht="15.6">
      <c r="H52" s="1"/>
    </row>
    <row r="53" spans="8:8" ht="15.6">
      <c r="H53" s="1"/>
    </row>
    <row r="54" spans="8:8" ht="15.6">
      <c r="H54" s="1"/>
    </row>
    <row r="55" spans="8:8" ht="15.6">
      <c r="H55" s="1"/>
    </row>
    <row r="56" spans="8:8" ht="15.6">
      <c r="H56" s="1"/>
    </row>
    <row r="57" spans="8:8" ht="15.6">
      <c r="H57" s="1"/>
    </row>
    <row r="58" spans="8:8" ht="15.6">
      <c r="H58" s="1"/>
    </row>
    <row r="59" spans="8:8" ht="15.6">
      <c r="H59" s="1"/>
    </row>
    <row r="60" spans="8:8" ht="15.6">
      <c r="H60" s="1"/>
    </row>
    <row r="61" spans="8:8" ht="15.6">
      <c r="H61" s="1"/>
    </row>
    <row r="62" spans="8:8" ht="15.6">
      <c r="H62" s="1"/>
    </row>
    <row r="63" spans="8:8" ht="15.6">
      <c r="H63" s="1"/>
    </row>
    <row r="64" spans="8:8" ht="15.6">
      <c r="H64" s="1"/>
    </row>
    <row r="65" spans="8:8" ht="15.6">
      <c r="H65" s="1"/>
    </row>
    <row r="66" spans="8:8" ht="15.6">
      <c r="H66" s="1"/>
    </row>
    <row r="67" spans="8:8" ht="15.6">
      <c r="H67" s="1"/>
    </row>
    <row r="68" spans="8:8" ht="15.6">
      <c r="H68" s="1"/>
    </row>
    <row r="69" spans="8:8" ht="15.6">
      <c r="H69" s="1"/>
    </row>
    <row r="70" spans="8:8" ht="15.6">
      <c r="H70" s="1"/>
    </row>
    <row r="71" spans="8:8" ht="15.6">
      <c r="H71" s="1"/>
    </row>
  </sheetData>
  <protectedRanges>
    <protectedRange sqref="D3:D19" name="Allow range"/>
  </protectedRanges>
  <mergeCells count="1">
    <mergeCell ref="H2:H3"/>
  </mergeCells>
  <pageMargins left="0.25" right="0.25" top="0.75" bottom="0.75" header="0.3" footer="0.3"/>
  <pageSetup orientation="landscape" r:id="rId1"/>
  <extLst>
    <ext xmlns:x14="http://schemas.microsoft.com/office/spreadsheetml/2009/9/main" uri="{CCE6A557-97BC-4b89-ADB6-D9C93CAAB3DF}">
      <x14:dataValidations xmlns:xm="http://schemas.microsoft.com/office/excel/2006/main" count="17">
        <x14:dataValidation type="list" allowBlank="1" showInputMessage="1" showErrorMessage="1" xr:uid="{00000000-0002-0000-0100-000000000000}">
          <x14:formula1>
            <xm:f>Rules!$E$62:$E$64</xm:f>
          </x14:formula1>
          <xm:sqref>D13</xm:sqref>
        </x14:dataValidation>
        <x14:dataValidation type="list" allowBlank="1" showInputMessage="1" showErrorMessage="1" xr:uid="{00000000-0002-0000-0100-000001000000}">
          <x14:formula1>
            <xm:f>Rules!$E$55:$E$56</xm:f>
          </x14:formula1>
          <xm:sqref>D11</xm:sqref>
        </x14:dataValidation>
        <x14:dataValidation type="list" allowBlank="1" showInputMessage="1" showErrorMessage="1" xr:uid="{00000000-0002-0000-0100-000002000000}">
          <x14:formula1>
            <xm:f>Rules!$E$32:$E$36</xm:f>
          </x14:formula1>
          <xm:sqref>D7</xm:sqref>
        </x14:dataValidation>
        <x14:dataValidation type="list" allowBlank="1" showInputMessage="1" showErrorMessage="1" xr:uid="{00000000-0002-0000-0100-000004000000}">
          <x14:formula1>
            <xm:f>Rules!$E$57:$E$61</xm:f>
          </x14:formula1>
          <xm:sqref>D12</xm:sqref>
        </x14:dataValidation>
        <x14:dataValidation type="list" allowBlank="1" showInputMessage="1" showErrorMessage="1" xr:uid="{00000000-0002-0000-0100-000005000000}">
          <x14:formula1>
            <xm:f>Rules!$E$9:$E$13</xm:f>
          </x14:formula1>
          <xm:sqref>D4</xm:sqref>
        </x14:dataValidation>
        <x14:dataValidation type="list" allowBlank="1" showInputMessage="1" showErrorMessage="1" xr:uid="{00000000-0002-0000-0100-000006000000}">
          <x14:formula1>
            <xm:f>Rules!$E$70:$E$73</xm:f>
          </x14:formula1>
          <xm:sqref>D15</xm:sqref>
        </x14:dataValidation>
        <x14:dataValidation type="list" allowBlank="1" showInputMessage="1" showErrorMessage="1" xr:uid="{00000000-0002-0000-0100-000007000000}">
          <x14:formula1>
            <xm:f>Rules!$E$74:$E$77</xm:f>
          </x14:formula1>
          <xm:sqref>D16</xm:sqref>
        </x14:dataValidation>
        <x14:dataValidation type="list" allowBlank="1" showInputMessage="1" showErrorMessage="1" xr:uid="{00000000-0002-0000-0100-000008000000}">
          <x14:formula1>
            <xm:f>Rules!$E$65:$E$69</xm:f>
          </x14:formula1>
          <xm:sqref>D14</xm:sqref>
        </x14:dataValidation>
        <x14:dataValidation type="list" allowBlank="1" showInputMessage="1" showErrorMessage="1" xr:uid="{00000000-0002-0000-0100-00000B000000}">
          <x14:formula1>
            <xm:f>Rules!$E$37:$E$40</xm:f>
          </x14:formula1>
          <xm:sqref>D8</xm:sqref>
        </x14:dataValidation>
        <x14:dataValidation type="list" allowBlank="1" showInputMessage="1" showErrorMessage="1" xr:uid="{00000000-0002-0000-0100-00000C000000}">
          <x14:formula1>
            <xm:f>Rules!$E$41:$E$45</xm:f>
          </x14:formula1>
          <xm:sqref>D9</xm:sqref>
        </x14:dataValidation>
        <x14:dataValidation type="list" allowBlank="1" showInputMessage="1" showErrorMessage="1" xr:uid="{00000000-0002-0000-0100-00000E000000}">
          <x14:formula1>
            <xm:f>Rules!$E$78:$E$79</xm:f>
          </x14:formula1>
          <xm:sqref>D17</xm:sqref>
        </x14:dataValidation>
        <x14:dataValidation type="list" allowBlank="1" showInputMessage="1" showErrorMessage="1" xr:uid="{00000000-0002-0000-0100-00000F000000}">
          <x14:formula1>
            <xm:f>Rules!$E$14:$E$18</xm:f>
          </x14:formula1>
          <xm:sqref>D5</xm:sqref>
        </x14:dataValidation>
        <x14:dataValidation type="list" allowBlank="1" showInputMessage="1" showErrorMessage="1" xr:uid="{00000000-0002-0000-0100-000010000000}">
          <x14:formula1>
            <xm:f>Rules!$E$46:$E$50</xm:f>
          </x14:formula1>
          <xm:sqref>D10</xm:sqref>
        </x14:dataValidation>
        <x14:dataValidation type="list" allowBlank="1" showInputMessage="1" showErrorMessage="1" xr:uid="{00000000-0002-0000-0100-000011000000}">
          <x14:formula1>
            <xm:f>Rules!$E$80:$E$83</xm:f>
          </x14:formula1>
          <xm:sqref>D18</xm:sqref>
        </x14:dataValidation>
        <x14:dataValidation type="list" allowBlank="1" showInputMessage="1" showErrorMessage="1" xr:uid="{00000000-0002-0000-0100-000012000000}">
          <x14:formula1>
            <xm:f>Rules!$E$84:$E$88</xm:f>
          </x14:formula1>
          <xm:sqref>D19</xm:sqref>
        </x14:dataValidation>
        <x14:dataValidation type="list" allowBlank="1" showInputMessage="1" showErrorMessage="1" xr:uid="{00000000-0002-0000-0100-000003000000}">
          <x14:formula1>
            <xm:f>Rules!$E$4:$E$8</xm:f>
          </x14:formula1>
          <xm:sqref>D3</xm:sqref>
        </x14:dataValidation>
        <x14:dataValidation type="list" allowBlank="1" showInputMessage="1" showErrorMessage="1" xr:uid="{00000000-0002-0000-0100-000009000000}">
          <x14:formula1>
            <xm:f>Rules!$E$19:$E$27</xm:f>
          </x14:formula1>
          <xm:sqref>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594A-3E23-4642-9649-CF2E2098BB83}">
  <sheetPr codeName="Sheet3"/>
  <dimension ref="A1:PD34"/>
  <sheetViews>
    <sheetView tabSelected="1" zoomScaleNormal="100" workbookViewId="0">
      <pane ySplit="1" topLeftCell="A27" activePane="bottomLeft" state="frozen"/>
      <selection pane="bottomLeft" activeCell="D29" sqref="D29"/>
    </sheetView>
  </sheetViews>
  <sheetFormatPr defaultColWidth="4.77734375" defaultRowHeight="14.4"/>
  <cols>
    <col min="2" max="2" width="44.44140625" style="134" bestFit="1" customWidth="1"/>
    <col min="3" max="3" width="44.44140625" style="4" customWidth="1"/>
    <col min="4" max="4" width="64.77734375" style="133" customWidth="1"/>
    <col min="5" max="5" width="15.44140625" bestFit="1" customWidth="1"/>
    <col min="6" max="6" width="23.77734375" customWidth="1"/>
    <col min="7" max="7" width="16.21875" customWidth="1"/>
    <col min="8" max="8" width="17.21875" customWidth="1"/>
    <col min="9" max="9" width="17" customWidth="1"/>
    <col min="10" max="10" width="20.21875" customWidth="1"/>
    <col min="11" max="11" width="13" customWidth="1"/>
    <col min="12" max="12" width="20.77734375" customWidth="1"/>
    <col min="13" max="13" width="14.44140625" customWidth="1"/>
    <col min="14" max="14" width="15" customWidth="1"/>
    <col min="15" max="15" width="14.77734375" customWidth="1"/>
    <col min="16" max="16" width="19.77734375" customWidth="1"/>
    <col min="17" max="17" width="24.21875" customWidth="1"/>
  </cols>
  <sheetData>
    <row r="1" spans="2:17" ht="78.599999999999994" thickBot="1">
      <c r="B1" s="131" t="s">
        <v>47</v>
      </c>
      <c r="C1" s="132" t="s">
        <v>48</v>
      </c>
      <c r="D1" s="131" t="s">
        <v>49</v>
      </c>
      <c r="E1" s="131" t="s">
        <v>50</v>
      </c>
      <c r="F1" s="131" t="s">
        <v>21</v>
      </c>
      <c r="G1" s="131" t="s">
        <v>51</v>
      </c>
      <c r="H1" s="131" t="s">
        <v>52</v>
      </c>
      <c r="I1" s="131" t="s">
        <v>26</v>
      </c>
      <c r="J1" s="131" t="s">
        <v>53</v>
      </c>
      <c r="K1" s="131" t="s">
        <v>54</v>
      </c>
      <c r="L1" s="131" t="s">
        <v>55</v>
      </c>
      <c r="M1" s="131" t="s">
        <v>56</v>
      </c>
      <c r="N1" s="131" t="s">
        <v>57</v>
      </c>
      <c r="O1" s="131" t="s">
        <v>58</v>
      </c>
      <c r="P1" s="142" t="s">
        <v>59</v>
      </c>
      <c r="Q1" s="143" t="s">
        <v>60</v>
      </c>
    </row>
    <row r="2" spans="2:17" ht="38.4" customHeight="1" thickBot="1">
      <c r="B2" s="167" t="s">
        <v>227</v>
      </c>
      <c r="C2" s="167"/>
      <c r="D2" s="167"/>
      <c r="E2" s="167"/>
      <c r="F2" s="167"/>
      <c r="G2" s="167"/>
      <c r="H2" s="167"/>
      <c r="I2" s="167"/>
      <c r="J2" s="167"/>
      <c r="K2" s="167"/>
      <c r="L2" s="167"/>
      <c r="M2" s="167"/>
      <c r="N2" s="167"/>
      <c r="O2" s="167"/>
      <c r="P2" s="167"/>
      <c r="Q2" s="167"/>
    </row>
    <row r="3" spans="2:17" ht="75" customHeight="1" thickBot="1">
      <c r="B3" s="185" t="s">
        <v>234</v>
      </c>
      <c r="C3" s="179" t="s">
        <v>223</v>
      </c>
      <c r="D3" s="139" t="s">
        <v>232</v>
      </c>
      <c r="E3" s="137"/>
      <c r="F3" s="137"/>
      <c r="G3" s="137">
        <v>1</v>
      </c>
      <c r="H3" s="137"/>
      <c r="I3" s="137">
        <v>3</v>
      </c>
      <c r="J3" s="137"/>
      <c r="K3" s="137"/>
      <c r="L3" s="141"/>
      <c r="M3" s="137"/>
      <c r="N3" s="137"/>
      <c r="O3" s="137"/>
      <c r="P3" s="137"/>
      <c r="Q3" s="137"/>
    </row>
    <row r="4" spans="2:17" ht="15.6" customHeight="1">
      <c r="B4" s="186"/>
      <c r="C4" s="180"/>
      <c r="D4" s="182" t="s">
        <v>239</v>
      </c>
      <c r="E4" s="172"/>
      <c r="F4" s="172"/>
      <c r="G4" s="174">
        <v>1</v>
      </c>
      <c r="H4" s="189"/>
      <c r="I4" s="174">
        <v>3</v>
      </c>
      <c r="J4" s="174"/>
      <c r="K4" s="172"/>
      <c r="L4" s="172"/>
      <c r="M4" s="172"/>
      <c r="N4" s="172"/>
      <c r="O4" s="172"/>
      <c r="P4" s="172"/>
      <c r="Q4" s="172"/>
    </row>
    <row r="5" spans="2:17" ht="14.4" customHeight="1">
      <c r="B5" s="186"/>
      <c r="C5" s="180"/>
      <c r="D5" s="183"/>
      <c r="E5" s="177"/>
      <c r="F5" s="177"/>
      <c r="G5" s="188"/>
      <c r="H5" s="190"/>
      <c r="I5" s="188"/>
      <c r="J5" s="188"/>
      <c r="K5" s="177"/>
      <c r="L5" s="177"/>
      <c r="M5" s="177"/>
      <c r="N5" s="177"/>
      <c r="O5" s="177"/>
      <c r="P5" s="177"/>
      <c r="Q5" s="177"/>
    </row>
    <row r="6" spans="2:17" ht="14.4" customHeight="1">
      <c r="B6" s="186"/>
      <c r="C6" s="180"/>
      <c r="D6" s="183"/>
      <c r="E6" s="177"/>
      <c r="F6" s="177"/>
      <c r="G6" s="188"/>
      <c r="H6" s="190"/>
      <c r="I6" s="188"/>
      <c r="J6" s="188"/>
      <c r="K6" s="177"/>
      <c r="L6" s="177"/>
      <c r="M6" s="177"/>
      <c r="N6" s="177"/>
      <c r="O6" s="177"/>
      <c r="P6" s="177"/>
      <c r="Q6" s="177"/>
    </row>
    <row r="7" spans="2:17" ht="14.4" customHeight="1">
      <c r="B7" s="186"/>
      <c r="C7" s="180"/>
      <c r="D7" s="183"/>
      <c r="E7" s="177"/>
      <c r="F7" s="177"/>
      <c r="G7" s="188"/>
      <c r="H7" s="190"/>
      <c r="I7" s="188"/>
      <c r="J7" s="188"/>
      <c r="K7" s="177"/>
      <c r="L7" s="177"/>
      <c r="M7" s="177"/>
      <c r="N7" s="177"/>
      <c r="O7" s="177"/>
      <c r="P7" s="177"/>
      <c r="Q7" s="177"/>
    </row>
    <row r="8" spans="2:17" ht="27" customHeight="1" thickBot="1">
      <c r="B8" s="186"/>
      <c r="C8" s="181"/>
      <c r="D8" s="184"/>
      <c r="E8" s="173"/>
      <c r="F8" s="173"/>
      <c r="G8" s="175"/>
      <c r="H8" s="191"/>
      <c r="I8" s="175"/>
      <c r="J8" s="175"/>
      <c r="K8" s="173"/>
      <c r="L8" s="173"/>
      <c r="M8" s="173"/>
      <c r="N8" s="173"/>
      <c r="O8" s="173"/>
      <c r="P8" s="173"/>
      <c r="Q8" s="173"/>
    </row>
    <row r="9" spans="2:17" ht="41.4" customHeight="1" thickBot="1">
      <c r="B9" s="186"/>
      <c r="C9" s="179" t="s">
        <v>211</v>
      </c>
      <c r="D9" s="139" t="s">
        <v>240</v>
      </c>
      <c r="E9" s="172"/>
      <c r="F9" s="172"/>
      <c r="G9" s="172"/>
      <c r="H9" s="172"/>
      <c r="I9" s="174">
        <v>10</v>
      </c>
      <c r="J9" s="174">
        <v>1</v>
      </c>
      <c r="K9" s="172"/>
      <c r="L9" s="172"/>
      <c r="M9" s="172"/>
      <c r="N9" s="172"/>
      <c r="O9" s="172"/>
      <c r="P9" s="172"/>
      <c r="Q9" s="172"/>
    </row>
    <row r="10" spans="2:17" ht="144.6" customHeight="1" thickBot="1">
      <c r="B10" s="186"/>
      <c r="C10" s="181"/>
      <c r="D10" s="144" t="s">
        <v>242</v>
      </c>
      <c r="E10" s="173"/>
      <c r="F10" s="173"/>
      <c r="G10" s="173"/>
      <c r="H10" s="173"/>
      <c r="I10" s="175"/>
      <c r="J10" s="175"/>
      <c r="K10" s="173"/>
      <c r="L10" s="173"/>
      <c r="M10" s="173"/>
      <c r="N10" s="173"/>
      <c r="O10" s="173"/>
      <c r="P10" s="173"/>
      <c r="Q10" s="173"/>
    </row>
    <row r="11" spans="2:17" ht="145.19999999999999" customHeight="1">
      <c r="B11" s="186"/>
      <c r="C11" s="179" t="s">
        <v>210</v>
      </c>
      <c r="D11" s="198" t="s">
        <v>236</v>
      </c>
      <c r="E11" s="172"/>
      <c r="F11" s="172"/>
      <c r="G11" s="172"/>
      <c r="H11" s="172"/>
      <c r="I11" s="172">
        <v>2</v>
      </c>
      <c r="J11" s="172">
        <v>1</v>
      </c>
      <c r="K11" s="172"/>
      <c r="L11" s="172"/>
      <c r="M11" s="172"/>
      <c r="N11" s="172"/>
      <c r="O11" s="172"/>
      <c r="P11" s="172"/>
      <c r="Q11" s="172"/>
    </row>
    <row r="12" spans="2:17" ht="27" customHeight="1" thickBot="1">
      <c r="B12" s="187"/>
      <c r="C12" s="181"/>
      <c r="D12" s="199"/>
      <c r="E12" s="173"/>
      <c r="F12" s="173"/>
      <c r="G12" s="173"/>
      <c r="H12" s="173"/>
      <c r="I12" s="173"/>
      <c r="J12" s="173"/>
      <c r="K12" s="173"/>
      <c r="L12" s="173"/>
      <c r="M12" s="173"/>
      <c r="N12" s="173"/>
      <c r="O12" s="173"/>
      <c r="P12" s="173"/>
      <c r="Q12" s="173"/>
    </row>
    <row r="13" spans="2:17" s="178" customFormat="1" ht="14.4" customHeight="1"/>
    <row r="14" spans="2:17" s="178" customFormat="1" ht="14.4" customHeight="1" thickBot="1"/>
    <row r="15" spans="2:17" ht="41.4" customHeight="1">
      <c r="B15" s="195" t="s">
        <v>212</v>
      </c>
      <c r="C15" s="179" t="s">
        <v>222</v>
      </c>
      <c r="D15" s="170" t="s">
        <v>233</v>
      </c>
      <c r="E15" s="172"/>
      <c r="F15" s="172"/>
      <c r="G15" s="172"/>
      <c r="H15" s="172"/>
      <c r="I15" s="174">
        <v>3</v>
      </c>
      <c r="J15" s="172"/>
      <c r="K15" s="172"/>
      <c r="L15" s="172"/>
      <c r="M15" s="172"/>
      <c r="N15" s="172"/>
      <c r="O15" s="172"/>
      <c r="P15" s="172"/>
      <c r="Q15" s="172"/>
    </row>
    <row r="16" spans="2:17">
      <c r="B16" s="196"/>
      <c r="C16" s="180"/>
      <c r="D16" s="176"/>
      <c r="E16" s="177"/>
      <c r="F16" s="177"/>
      <c r="G16" s="177"/>
      <c r="H16" s="177"/>
      <c r="I16" s="188"/>
      <c r="J16" s="177"/>
      <c r="K16" s="177"/>
      <c r="L16" s="177"/>
      <c r="M16" s="177"/>
      <c r="N16" s="177"/>
      <c r="O16" s="177"/>
      <c r="P16" s="177"/>
      <c r="Q16" s="177"/>
    </row>
    <row r="17" spans="1:420">
      <c r="B17" s="196"/>
      <c r="C17" s="180"/>
      <c r="D17" s="176"/>
      <c r="E17" s="177"/>
      <c r="F17" s="177"/>
      <c r="G17" s="177"/>
      <c r="H17" s="177"/>
      <c r="I17" s="188"/>
      <c r="J17" s="177"/>
      <c r="K17" s="177"/>
      <c r="L17" s="177"/>
      <c r="M17" s="177"/>
      <c r="N17" s="177"/>
      <c r="O17" s="177"/>
      <c r="P17" s="177"/>
      <c r="Q17" s="177"/>
    </row>
    <row r="18" spans="1:420">
      <c r="B18" s="196"/>
      <c r="C18" s="180"/>
      <c r="D18" s="176"/>
      <c r="E18" s="177"/>
      <c r="F18" s="177"/>
      <c r="G18" s="177"/>
      <c r="H18" s="177"/>
      <c r="I18" s="188"/>
      <c r="J18" s="177"/>
      <c r="K18" s="177"/>
      <c r="L18" s="177"/>
      <c r="M18" s="177"/>
      <c r="N18" s="177"/>
      <c r="O18" s="177"/>
      <c r="P18" s="177"/>
      <c r="Q18" s="177"/>
    </row>
    <row r="19" spans="1:420">
      <c r="B19" s="196"/>
      <c r="C19" s="180"/>
      <c r="D19" s="176"/>
      <c r="E19" s="177"/>
      <c r="F19" s="177"/>
      <c r="G19" s="177"/>
      <c r="H19" s="177"/>
      <c r="I19" s="188"/>
      <c r="J19" s="177"/>
      <c r="K19" s="177"/>
      <c r="L19" s="177"/>
      <c r="M19" s="177"/>
      <c r="N19" s="177"/>
      <c r="O19" s="177"/>
      <c r="P19" s="177"/>
      <c r="Q19" s="177"/>
    </row>
    <row r="20" spans="1:420" ht="13.2" customHeight="1" thickBot="1">
      <c r="B20" s="196"/>
      <c r="C20" s="181"/>
      <c r="D20" s="171"/>
      <c r="E20" s="173"/>
      <c r="F20" s="173"/>
      <c r="G20" s="173"/>
      <c r="H20" s="173"/>
      <c r="I20" s="175"/>
      <c r="J20" s="173"/>
      <c r="K20" s="173"/>
      <c r="L20" s="173"/>
      <c r="M20" s="173"/>
      <c r="N20" s="173"/>
      <c r="O20" s="173"/>
      <c r="P20" s="173"/>
      <c r="Q20" s="173"/>
    </row>
    <row r="21" spans="1:420" ht="48.6" customHeight="1">
      <c r="B21" s="196"/>
      <c r="C21" s="179" t="s">
        <v>210</v>
      </c>
      <c r="D21" s="170" t="s">
        <v>243</v>
      </c>
      <c r="E21" s="172"/>
      <c r="F21" s="172"/>
      <c r="G21" s="172"/>
      <c r="H21" s="172"/>
      <c r="I21" s="174">
        <v>2</v>
      </c>
      <c r="J21" s="172"/>
      <c r="K21" s="172"/>
      <c r="L21" s="172"/>
      <c r="M21" s="172"/>
      <c r="N21" s="172"/>
      <c r="O21" s="172"/>
      <c r="P21" s="172"/>
      <c r="Q21" s="172"/>
    </row>
    <row r="22" spans="1:420" ht="33" customHeight="1" thickBot="1">
      <c r="B22" s="196"/>
      <c r="C22" s="181"/>
      <c r="D22" s="171"/>
      <c r="E22" s="173"/>
      <c r="F22" s="173"/>
      <c r="G22" s="173"/>
      <c r="H22" s="173"/>
      <c r="I22" s="175"/>
      <c r="J22" s="173"/>
      <c r="K22" s="173"/>
      <c r="L22" s="173"/>
      <c r="M22" s="173"/>
      <c r="N22" s="173"/>
      <c r="O22" s="173"/>
      <c r="P22" s="173"/>
      <c r="Q22" s="173"/>
    </row>
    <row r="23" spans="1:420" ht="188.4" customHeight="1" thickBot="1">
      <c r="B23" s="197"/>
      <c r="C23" s="135" t="s">
        <v>213</v>
      </c>
      <c r="D23" s="140" t="s">
        <v>244</v>
      </c>
      <c r="E23" s="137"/>
      <c r="F23" s="137"/>
      <c r="G23" s="137"/>
      <c r="H23" s="137"/>
      <c r="I23" s="137">
        <v>13</v>
      </c>
      <c r="J23" s="137"/>
      <c r="K23" s="137"/>
      <c r="L23" s="137"/>
      <c r="M23" s="137"/>
      <c r="N23" s="137"/>
      <c r="O23" s="137"/>
      <c r="P23" s="137"/>
      <c r="Q23" s="137"/>
    </row>
    <row r="24" spans="1:420" ht="31.8" customHeight="1" thickBot="1">
      <c r="B24" s="160"/>
      <c r="C24" s="161"/>
      <c r="D24" s="161"/>
      <c r="E24" s="161"/>
      <c r="F24" s="161"/>
      <c r="G24" s="161"/>
      <c r="H24" s="161"/>
      <c r="I24" s="161"/>
      <c r="J24" s="161"/>
      <c r="K24" s="161"/>
      <c r="L24" s="161"/>
      <c r="M24" s="161"/>
      <c r="N24" s="161"/>
      <c r="O24" s="161"/>
      <c r="P24" s="161"/>
      <c r="Q24" s="161"/>
    </row>
    <row r="25" spans="1:420" ht="128.4" customHeight="1" thickBot="1">
      <c r="B25" s="151" t="s">
        <v>214</v>
      </c>
      <c r="C25" s="138" t="s">
        <v>216</v>
      </c>
      <c r="D25" s="136" t="s">
        <v>215</v>
      </c>
      <c r="E25" s="137"/>
      <c r="F25" s="137"/>
      <c r="G25" s="137"/>
      <c r="H25" s="137"/>
      <c r="I25" s="137">
        <v>6</v>
      </c>
      <c r="J25" s="137"/>
      <c r="K25" s="137"/>
      <c r="L25" s="137"/>
      <c r="M25" s="137"/>
      <c r="N25" s="137"/>
      <c r="O25" s="137"/>
      <c r="P25" s="137"/>
      <c r="Q25" s="137"/>
    </row>
    <row r="26" spans="1:420" s="178" customFormat="1" ht="15.6" customHeight="1" thickBot="1"/>
    <row r="27" spans="1:420" ht="130.80000000000001" customHeight="1" thickBot="1">
      <c r="B27" s="152" t="s">
        <v>221</v>
      </c>
      <c r="C27" s="146" t="s">
        <v>217</v>
      </c>
      <c r="D27" s="155" t="s">
        <v>228</v>
      </c>
      <c r="E27" s="147"/>
      <c r="F27" s="147"/>
      <c r="G27" s="147"/>
      <c r="H27" s="147"/>
      <c r="I27" s="147">
        <v>1</v>
      </c>
      <c r="J27" s="147"/>
      <c r="K27" s="147"/>
      <c r="L27" s="147"/>
      <c r="M27" s="147"/>
      <c r="N27" s="147"/>
      <c r="O27" s="147"/>
      <c r="P27" s="147"/>
      <c r="Q27" s="147"/>
    </row>
    <row r="28" spans="1:420" s="141" customFormat="1" ht="92.4" customHeight="1" thickBot="1">
      <c r="A28" s="148"/>
      <c r="B28" s="153" t="s">
        <v>224</v>
      </c>
      <c r="C28" s="138" t="s">
        <v>225</v>
      </c>
      <c r="D28" s="154" t="s">
        <v>241</v>
      </c>
      <c r="E28" s="136"/>
      <c r="F28" s="136"/>
      <c r="G28" s="136"/>
      <c r="H28" s="136"/>
      <c r="I28" s="156">
        <v>6</v>
      </c>
      <c r="J28" s="162">
        <v>4</v>
      </c>
      <c r="K28" s="136"/>
      <c r="L28" s="136"/>
      <c r="M28" s="136"/>
      <c r="N28" s="136"/>
      <c r="O28" s="136"/>
      <c r="P28" s="136"/>
      <c r="Q28" s="136"/>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row>
    <row r="29" spans="1:420" ht="130.80000000000001" customHeight="1" thickBot="1">
      <c r="B29" s="153" t="s">
        <v>226</v>
      </c>
      <c r="C29" s="145"/>
      <c r="D29" s="154" t="s">
        <v>245</v>
      </c>
      <c r="E29" s="145"/>
      <c r="F29" s="145"/>
      <c r="G29" s="145"/>
      <c r="H29" s="145"/>
      <c r="I29" s="145"/>
      <c r="J29" s="145"/>
      <c r="K29" s="145"/>
      <c r="L29" s="145"/>
      <c r="M29" s="145"/>
      <c r="N29" s="145"/>
      <c r="O29" s="145"/>
      <c r="P29" s="145"/>
      <c r="Q29" s="145"/>
    </row>
    <row r="30" spans="1:420" ht="30" customHeight="1" thickBot="1">
      <c r="B30" s="168" t="s">
        <v>218</v>
      </c>
      <c r="C30" s="169"/>
      <c r="D30" s="169"/>
      <c r="E30" s="169"/>
      <c r="F30" s="169"/>
      <c r="G30" s="169"/>
      <c r="H30" s="169"/>
      <c r="I30" s="169"/>
      <c r="J30" s="169"/>
      <c r="K30" s="169"/>
      <c r="L30" s="169"/>
      <c r="M30" s="169"/>
      <c r="N30" s="169"/>
      <c r="O30" s="169"/>
      <c r="P30" s="169"/>
      <c r="Q30" s="169"/>
      <c r="R30" s="149"/>
    </row>
    <row r="31" spans="1:420" ht="78.599999999999994" customHeight="1" thickBot="1">
      <c r="B31" s="192" t="s">
        <v>229</v>
      </c>
      <c r="C31" s="157" t="s">
        <v>219</v>
      </c>
      <c r="D31" s="136" t="s">
        <v>235</v>
      </c>
      <c r="E31" s="137"/>
      <c r="F31" s="137"/>
      <c r="G31" s="137">
        <v>1</v>
      </c>
      <c r="H31" s="137"/>
      <c r="I31" s="137">
        <v>4</v>
      </c>
      <c r="J31" s="137"/>
      <c r="K31" s="137"/>
      <c r="L31" s="137"/>
      <c r="M31" s="137"/>
      <c r="N31" s="137"/>
      <c r="O31" s="137"/>
      <c r="P31" s="137"/>
      <c r="Q31" s="137"/>
    </row>
    <row r="32" spans="1:420" ht="121.2" customHeight="1" thickBot="1">
      <c r="B32" s="193"/>
      <c r="C32" s="158" t="s">
        <v>220</v>
      </c>
      <c r="D32" s="136" t="s">
        <v>237</v>
      </c>
      <c r="E32" s="137"/>
      <c r="F32" s="137"/>
      <c r="G32" s="137"/>
      <c r="H32" s="137"/>
      <c r="I32" s="137">
        <v>6</v>
      </c>
      <c r="J32" s="137"/>
      <c r="K32" s="137"/>
      <c r="L32" s="137"/>
      <c r="M32" s="137"/>
      <c r="N32" s="137"/>
      <c r="O32" s="137"/>
      <c r="P32" s="137"/>
      <c r="Q32" s="137"/>
    </row>
    <row r="33" spans="2:17" ht="115.2" customHeight="1" thickBot="1">
      <c r="B33" s="193"/>
      <c r="C33" s="158" t="s">
        <v>230</v>
      </c>
      <c r="D33" s="136" t="s">
        <v>238</v>
      </c>
      <c r="E33" s="159"/>
      <c r="F33" s="159"/>
      <c r="G33" s="159"/>
      <c r="H33" s="159"/>
      <c r="I33" s="137">
        <v>7</v>
      </c>
      <c r="J33" s="159"/>
      <c r="K33" s="159"/>
      <c r="L33" s="159"/>
      <c r="M33" s="159"/>
      <c r="N33" s="159"/>
      <c r="O33" s="159"/>
      <c r="P33" s="159"/>
      <c r="Q33" s="159"/>
    </row>
    <row r="34" spans="2:17" ht="42.6" customHeight="1" thickBot="1">
      <c r="B34" s="194"/>
      <c r="C34" s="150" t="s">
        <v>231</v>
      </c>
      <c r="D34" s="159"/>
      <c r="E34" s="159"/>
      <c r="F34" s="159"/>
      <c r="G34" s="159"/>
      <c r="H34" s="159"/>
      <c r="I34" s="159"/>
      <c r="J34" s="159"/>
      <c r="K34" s="159"/>
      <c r="L34" s="159"/>
      <c r="M34" s="159"/>
      <c r="N34" s="159"/>
      <c r="O34" s="159"/>
      <c r="P34" s="159"/>
      <c r="Q34" s="159"/>
    </row>
  </sheetData>
  <autoFilter ref="B1:Q1" xr:uid="{3FEA594A-3E23-4642-9649-CF2E2098BB83}"/>
  <mergeCells count="81">
    <mergeCell ref="M11:M12"/>
    <mergeCell ref="N11:N12"/>
    <mergeCell ref="O11:O12"/>
    <mergeCell ref="P11:P12"/>
    <mergeCell ref="Q11:Q12"/>
    <mergeCell ref="H11:H12"/>
    <mergeCell ref="I11:I12"/>
    <mergeCell ref="J11:J12"/>
    <mergeCell ref="K11:K12"/>
    <mergeCell ref="L11:L12"/>
    <mergeCell ref="C11:C12"/>
    <mergeCell ref="D11:D12"/>
    <mergeCell ref="E11:E12"/>
    <mergeCell ref="F11:F12"/>
    <mergeCell ref="G11:G12"/>
    <mergeCell ref="B31:B34"/>
    <mergeCell ref="A26:XFD26"/>
    <mergeCell ref="C15:C20"/>
    <mergeCell ref="C21:C22"/>
    <mergeCell ref="B15:B23"/>
    <mergeCell ref="P21:P22"/>
    <mergeCell ref="Q21:Q22"/>
    <mergeCell ref="J15:J20"/>
    <mergeCell ref="K15:K20"/>
    <mergeCell ref="L15:L20"/>
    <mergeCell ref="M15:M20"/>
    <mergeCell ref="E15:E20"/>
    <mergeCell ref="F15:F20"/>
    <mergeCell ref="G15:G20"/>
    <mergeCell ref="H15:H20"/>
    <mergeCell ref="I15:I20"/>
    <mergeCell ref="M9:M10"/>
    <mergeCell ref="N9:N10"/>
    <mergeCell ref="O9:O10"/>
    <mergeCell ref="P9:P10"/>
    <mergeCell ref="K4:K8"/>
    <mergeCell ref="L4:L8"/>
    <mergeCell ref="M4:M8"/>
    <mergeCell ref="H9:H10"/>
    <mergeCell ref="I9:I10"/>
    <mergeCell ref="J9:J10"/>
    <mergeCell ref="K9:K10"/>
    <mergeCell ref="L9:L10"/>
    <mergeCell ref="O15:O20"/>
    <mergeCell ref="P15:P20"/>
    <mergeCell ref="Q15:Q20"/>
    <mergeCell ref="N15:N20"/>
    <mergeCell ref="P4:P8"/>
    <mergeCell ref="Q9:Q10"/>
    <mergeCell ref="E9:E10"/>
    <mergeCell ref="A13:XFD14"/>
    <mergeCell ref="C3:C8"/>
    <mergeCell ref="C9:C10"/>
    <mergeCell ref="D4:D8"/>
    <mergeCell ref="B3:B12"/>
    <mergeCell ref="Q4:Q8"/>
    <mergeCell ref="F4:F8"/>
    <mergeCell ref="G4:G8"/>
    <mergeCell ref="H4:H8"/>
    <mergeCell ref="I4:I8"/>
    <mergeCell ref="J4:J8"/>
    <mergeCell ref="N4:N8"/>
    <mergeCell ref="O4:O8"/>
    <mergeCell ref="F9:F10"/>
    <mergeCell ref="G9:G10"/>
    <mergeCell ref="B2:Q2"/>
    <mergeCell ref="B30:Q30"/>
    <mergeCell ref="D21:D22"/>
    <mergeCell ref="E21:E22"/>
    <mergeCell ref="F21:F22"/>
    <mergeCell ref="G21:G22"/>
    <mergeCell ref="H21:H22"/>
    <mergeCell ref="I21:I22"/>
    <mergeCell ref="J21:J22"/>
    <mergeCell ref="K21:K22"/>
    <mergeCell ref="L21:L22"/>
    <mergeCell ref="M21:M22"/>
    <mergeCell ref="N21:N22"/>
    <mergeCell ref="O21:O22"/>
    <mergeCell ref="D15:D20"/>
    <mergeCell ref="E4:E8"/>
  </mergeCells>
  <phoneticPr fontId="2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E7A08-FF96-4C0B-A4A9-35804D1BAE6B}">
  <sheetPr codeName="Sheet7"/>
  <dimension ref="A1:B36"/>
  <sheetViews>
    <sheetView workbookViewId="0">
      <selection activeCell="E32" sqref="E32"/>
    </sheetView>
  </sheetViews>
  <sheetFormatPr defaultColWidth="9.21875" defaultRowHeight="14.4"/>
  <cols>
    <col min="1" max="1" width="35.5546875" bestFit="1" customWidth="1"/>
    <col min="2" max="2" width="18.5546875" bestFit="1" customWidth="1"/>
  </cols>
  <sheetData>
    <row r="1" spans="1:2">
      <c r="A1" s="128" t="s">
        <v>61</v>
      </c>
      <c r="B1" s="128" t="s">
        <v>62</v>
      </c>
    </row>
    <row r="2" spans="1:2">
      <c r="A2" t="s">
        <v>63</v>
      </c>
      <c r="B2" t="s">
        <v>64</v>
      </c>
    </row>
    <row r="3" spans="1:2">
      <c r="A3" t="s">
        <v>65</v>
      </c>
      <c r="B3" t="s">
        <v>66</v>
      </c>
    </row>
    <row r="4" spans="1:2">
      <c r="A4" t="s">
        <v>67</v>
      </c>
      <c r="B4" t="s">
        <v>66</v>
      </c>
    </row>
    <row r="5" spans="1:2">
      <c r="A5" t="s">
        <v>68</v>
      </c>
      <c r="B5" t="s">
        <v>66</v>
      </c>
    </row>
    <row r="6" spans="1:2">
      <c r="A6" t="s">
        <v>69</v>
      </c>
      <c r="B6" t="s">
        <v>70</v>
      </c>
    </row>
    <row r="7" spans="1:2">
      <c r="A7" t="s">
        <v>71</v>
      </c>
      <c r="B7" t="s">
        <v>72</v>
      </c>
    </row>
    <row r="8" spans="1:2">
      <c r="A8" t="s">
        <v>73</v>
      </c>
      <c r="B8" t="s">
        <v>74</v>
      </c>
    </row>
    <row r="9" spans="1:2">
      <c r="A9" t="s">
        <v>75</v>
      </c>
      <c r="B9" t="s">
        <v>74</v>
      </c>
    </row>
    <row r="10" spans="1:2">
      <c r="A10" t="s">
        <v>76</v>
      </c>
      <c r="B10" t="s">
        <v>77</v>
      </c>
    </row>
    <row r="11" spans="1:2">
      <c r="A11" t="s">
        <v>78</v>
      </c>
      <c r="B11" t="s">
        <v>79</v>
      </c>
    </row>
    <row r="12" spans="1:2">
      <c r="A12" t="s">
        <v>80</v>
      </c>
      <c r="B12" t="s">
        <v>81</v>
      </c>
    </row>
    <row r="13" spans="1:2">
      <c r="A13" t="s">
        <v>82</v>
      </c>
      <c r="B13" t="s">
        <v>81</v>
      </c>
    </row>
    <row r="14" spans="1:2">
      <c r="A14" t="s">
        <v>83</v>
      </c>
      <c r="B14" t="s">
        <v>81</v>
      </c>
    </row>
    <row r="15" spans="1:2">
      <c r="A15" t="s">
        <v>84</v>
      </c>
      <c r="B15" t="s">
        <v>81</v>
      </c>
    </row>
    <row r="16" spans="1:2">
      <c r="A16" t="s">
        <v>85</v>
      </c>
      <c r="B16" t="s">
        <v>81</v>
      </c>
    </row>
    <row r="17" spans="1:2">
      <c r="A17" t="s">
        <v>86</v>
      </c>
      <c r="B17" t="s">
        <v>87</v>
      </c>
    </row>
    <row r="18" spans="1:2">
      <c r="A18" t="s">
        <v>88</v>
      </c>
      <c r="B18" t="s">
        <v>87</v>
      </c>
    </row>
    <row r="19" spans="1:2">
      <c r="A19" t="s">
        <v>88</v>
      </c>
      <c r="B19" t="s">
        <v>87</v>
      </c>
    </row>
    <row r="20" spans="1:2">
      <c r="A20" t="s">
        <v>89</v>
      </c>
      <c r="B20" t="s">
        <v>87</v>
      </c>
    </row>
    <row r="21" spans="1:2">
      <c r="A21" t="s">
        <v>89</v>
      </c>
      <c r="B21" t="s">
        <v>87</v>
      </c>
    </row>
    <row r="22" spans="1:2">
      <c r="A22" t="s">
        <v>90</v>
      </c>
      <c r="B22" t="s">
        <v>91</v>
      </c>
    </row>
    <row r="23" spans="1:2">
      <c r="A23" t="s">
        <v>92</v>
      </c>
      <c r="B23" t="s">
        <v>91</v>
      </c>
    </row>
    <row r="24" spans="1:2">
      <c r="A24" t="s">
        <v>93</v>
      </c>
      <c r="B24" t="s">
        <v>91</v>
      </c>
    </row>
    <row r="25" spans="1:2">
      <c r="A25" t="s">
        <v>94</v>
      </c>
      <c r="B25" t="s">
        <v>95</v>
      </c>
    </row>
    <row r="26" spans="1:2">
      <c r="A26" t="s">
        <v>96</v>
      </c>
      <c r="B26" t="s">
        <v>95</v>
      </c>
    </row>
    <row r="27" spans="1:2">
      <c r="A27" t="s">
        <v>97</v>
      </c>
      <c r="B27" t="s">
        <v>98</v>
      </c>
    </row>
    <row r="28" spans="1:2">
      <c r="A28" t="s">
        <v>99</v>
      </c>
      <c r="B28" t="s">
        <v>98</v>
      </c>
    </row>
    <row r="29" spans="1:2">
      <c r="A29" t="s">
        <v>100</v>
      </c>
      <c r="B29" t="s">
        <v>98</v>
      </c>
    </row>
    <row r="30" spans="1:2">
      <c r="A30" t="s">
        <v>101</v>
      </c>
      <c r="B30" t="s">
        <v>98</v>
      </c>
    </row>
    <row r="31" spans="1:2">
      <c r="A31" t="s">
        <v>102</v>
      </c>
      <c r="B31" t="s">
        <v>98</v>
      </c>
    </row>
    <row r="32" spans="1:2">
      <c r="A32" t="s">
        <v>103</v>
      </c>
      <c r="B32" t="s">
        <v>104</v>
      </c>
    </row>
    <row r="33" spans="1:2">
      <c r="A33" t="s">
        <v>105</v>
      </c>
      <c r="B33" t="s">
        <v>106</v>
      </c>
    </row>
    <row r="34" spans="1:2">
      <c r="A34" t="s">
        <v>107</v>
      </c>
      <c r="B34" t="s">
        <v>108</v>
      </c>
    </row>
    <row r="35" spans="1:2">
      <c r="A35" t="s">
        <v>109</v>
      </c>
      <c r="B35" t="s">
        <v>108</v>
      </c>
    </row>
    <row r="36" spans="1:2">
      <c r="A36" t="s">
        <v>110</v>
      </c>
      <c r="B36"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D7"/>
  <sheetViews>
    <sheetView workbookViewId="0">
      <selection activeCell="D3" sqref="D3:D4"/>
    </sheetView>
  </sheetViews>
  <sheetFormatPr defaultColWidth="9.21875" defaultRowHeight="14.4"/>
  <cols>
    <col min="1" max="1" width="2.44140625" style="3" customWidth="1"/>
    <col min="2" max="2" width="4.5546875" style="4" bestFit="1" customWidth="1"/>
    <col min="3" max="3" width="70.77734375" style="3" customWidth="1"/>
    <col min="4" max="4" width="24.77734375" style="3" bestFit="1" customWidth="1"/>
    <col min="5" max="16384" width="9.21875" style="3"/>
  </cols>
  <sheetData>
    <row r="1" spans="2:4" ht="9.6" customHeight="1" thickBot="1"/>
    <row r="2" spans="2:4" ht="14.1" customHeight="1" thickBot="1">
      <c r="B2" s="8" t="s">
        <v>112</v>
      </c>
      <c r="C2" s="12" t="s">
        <v>113</v>
      </c>
      <c r="D2" s="3" t="s">
        <v>114</v>
      </c>
    </row>
    <row r="3" spans="2:4">
      <c r="B3" s="9">
        <v>1</v>
      </c>
      <c r="C3" s="129"/>
    </row>
    <row r="4" spans="2:4">
      <c r="B4" s="10">
        <v>2</v>
      </c>
      <c r="C4" s="130"/>
    </row>
    <row r="5" spans="2:4">
      <c r="B5" s="10"/>
      <c r="C5" s="126"/>
    </row>
    <row r="6" spans="2:4" ht="15" thickBot="1">
      <c r="B6" s="11"/>
      <c r="C6" s="127"/>
    </row>
    <row r="7" spans="2:4">
      <c r="C7" s="120"/>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C11"/>
  <sheetViews>
    <sheetView workbookViewId="0">
      <selection activeCell="C3" sqref="C3"/>
    </sheetView>
  </sheetViews>
  <sheetFormatPr defaultRowHeight="14.4"/>
  <cols>
    <col min="1" max="1" width="2.21875" customWidth="1"/>
    <col min="2" max="2" width="4.5546875" bestFit="1" customWidth="1"/>
    <col min="3" max="3" width="54" customWidth="1"/>
  </cols>
  <sheetData>
    <row r="1" spans="2:3" ht="10.5" customHeight="1" thickBot="1"/>
    <row r="2" spans="2:3" ht="15" thickBot="1">
      <c r="B2" s="8" t="s">
        <v>112</v>
      </c>
      <c r="C2" s="12" t="s">
        <v>115</v>
      </c>
    </row>
    <row r="3" spans="2:3">
      <c r="B3" s="9">
        <v>1</v>
      </c>
      <c r="C3" s="13"/>
    </row>
    <row r="4" spans="2:3">
      <c r="B4" s="10"/>
      <c r="C4" s="14"/>
    </row>
    <row r="5" spans="2:3">
      <c r="B5" s="10"/>
      <c r="C5" s="14"/>
    </row>
    <row r="6" spans="2:3">
      <c r="B6" s="10"/>
      <c r="C6" s="14"/>
    </row>
    <row r="7" spans="2:3">
      <c r="B7" s="10"/>
      <c r="C7" s="14"/>
    </row>
    <row r="8" spans="2:3">
      <c r="B8" s="10"/>
      <c r="C8" s="14"/>
    </row>
    <row r="9" spans="2:3">
      <c r="B9" s="10"/>
      <c r="C9" s="15"/>
    </row>
    <row r="10" spans="2:3">
      <c r="B10" s="10"/>
      <c r="C10" s="15"/>
    </row>
    <row r="11" spans="2:3" ht="15" thickBot="1">
      <c r="B11" s="11"/>
      <c r="C11" s="16"/>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K104"/>
  <sheetViews>
    <sheetView topLeftCell="A45" zoomScale="70" zoomScaleNormal="70" workbookViewId="0">
      <selection activeCell="G65" sqref="G65:G69"/>
    </sheetView>
  </sheetViews>
  <sheetFormatPr defaultRowHeight="14.4"/>
  <cols>
    <col min="1" max="1" width="1.77734375" customWidth="1"/>
    <col min="2" max="2" width="6.21875" style="4" bestFit="1" customWidth="1"/>
    <col min="3" max="3" width="57.21875" style="4" bestFit="1" customWidth="1"/>
    <col min="4" max="4" width="22.21875" style="4" hidden="1" customWidth="1"/>
    <col min="5" max="5" width="55.5546875" style="4" customWidth="1"/>
    <col min="6" max="6" width="11.21875" style="4" bestFit="1" customWidth="1"/>
    <col min="7" max="7" width="49.44140625" customWidth="1"/>
    <col min="8" max="8" width="20.21875" customWidth="1"/>
    <col min="9" max="9" width="35.21875" customWidth="1"/>
    <col min="10" max="10" width="23.44140625" customWidth="1"/>
    <col min="11" max="11" width="23.77734375" customWidth="1"/>
    <col min="12" max="12" width="12.77734375" customWidth="1"/>
    <col min="13" max="13" width="15.77734375" customWidth="1"/>
    <col min="14" max="14" width="18.21875" customWidth="1"/>
    <col min="15" max="15" width="33.44140625" bestFit="1" customWidth="1"/>
  </cols>
  <sheetData>
    <row r="1" spans="2:11" ht="10.050000000000001" customHeight="1">
      <c r="B1" s="18"/>
    </row>
    <row r="2" spans="2:11" ht="21" customHeight="1" thickBot="1">
      <c r="B2" s="220" t="s">
        <v>116</v>
      </c>
      <c r="C2" s="221"/>
      <c r="D2" s="221"/>
      <c r="E2" s="221"/>
      <c r="F2" s="221"/>
      <c r="G2" s="221"/>
    </row>
    <row r="3" spans="2:11" s="3" customFormat="1" ht="31.8" thickBot="1">
      <c r="B3" s="66" t="s">
        <v>117</v>
      </c>
      <c r="C3" s="67" t="s">
        <v>14</v>
      </c>
      <c r="D3" s="68" t="s">
        <v>118</v>
      </c>
      <c r="E3" s="67" t="s">
        <v>119</v>
      </c>
      <c r="F3" s="68" t="s">
        <v>120</v>
      </c>
      <c r="G3" s="68" t="s">
        <v>121</v>
      </c>
      <c r="H3" s="95"/>
    </row>
    <row r="4" spans="2:11" ht="15.6">
      <c r="B4" s="233">
        <v>1</v>
      </c>
      <c r="C4" s="200" t="s">
        <v>21</v>
      </c>
      <c r="D4" s="203">
        <f>ROUND(1/MAX(B:B),3)</f>
        <v>5.2999999999999999E-2</v>
      </c>
      <c r="E4" s="72" t="s">
        <v>122</v>
      </c>
      <c r="F4" s="51">
        <v>0</v>
      </c>
      <c r="G4" s="259" t="s">
        <v>123</v>
      </c>
      <c r="H4" s="96"/>
    </row>
    <row r="5" spans="2:11" ht="15.6">
      <c r="B5" s="213"/>
      <c r="C5" s="201"/>
      <c r="D5" s="204"/>
      <c r="E5" s="73" t="s">
        <v>22</v>
      </c>
      <c r="F5" s="47">
        <v>1</v>
      </c>
      <c r="G5" s="260"/>
    </row>
    <row r="6" spans="2:11" ht="15.6">
      <c r="B6" s="213"/>
      <c r="C6" s="201"/>
      <c r="D6" s="204"/>
      <c r="E6" s="74" t="s">
        <v>124</v>
      </c>
      <c r="F6" s="47">
        <v>2</v>
      </c>
      <c r="G6" s="260"/>
    </row>
    <row r="7" spans="2:11" ht="15.6">
      <c r="B7" s="234"/>
      <c r="C7" s="202"/>
      <c r="D7" s="205"/>
      <c r="E7" s="74" t="s">
        <v>125</v>
      </c>
      <c r="F7" s="47">
        <v>3</v>
      </c>
      <c r="G7" s="260"/>
    </row>
    <row r="8" spans="2:11" ht="15.6" customHeight="1" thickBot="1">
      <c r="B8" s="234"/>
      <c r="C8" s="202"/>
      <c r="D8" s="205"/>
      <c r="E8" s="75" t="s">
        <v>19</v>
      </c>
      <c r="F8" s="53">
        <v>4</v>
      </c>
      <c r="G8" s="261"/>
    </row>
    <row r="9" spans="2:11" ht="15.6">
      <c r="B9" s="225">
        <v>2</v>
      </c>
      <c r="C9" s="217" t="s">
        <v>51</v>
      </c>
      <c r="D9" s="235">
        <f>ROUND(1/MAX(B:B),3)</f>
        <v>5.2999999999999999E-2</v>
      </c>
      <c r="E9" s="76" t="s">
        <v>126</v>
      </c>
      <c r="F9" s="55">
        <v>0</v>
      </c>
      <c r="G9" s="262" t="s">
        <v>127</v>
      </c>
      <c r="H9" s="96"/>
    </row>
    <row r="10" spans="2:11" ht="15.6">
      <c r="B10" s="226"/>
      <c r="C10" s="201"/>
      <c r="D10" s="204"/>
      <c r="E10" s="77" t="s">
        <v>128</v>
      </c>
      <c r="F10" s="52">
        <v>1</v>
      </c>
      <c r="G10" s="263"/>
    </row>
    <row r="11" spans="2:11" ht="15.6">
      <c r="B11" s="226"/>
      <c r="C11" s="201"/>
      <c r="D11" s="204"/>
      <c r="E11" s="78" t="s">
        <v>129</v>
      </c>
      <c r="F11" s="52">
        <v>2</v>
      </c>
      <c r="G11" s="263"/>
    </row>
    <row r="12" spans="2:11" ht="15.6">
      <c r="B12" s="232"/>
      <c r="C12" s="202"/>
      <c r="D12" s="205"/>
      <c r="E12" s="78" t="s">
        <v>23</v>
      </c>
      <c r="F12" s="52">
        <v>3</v>
      </c>
      <c r="G12" s="263"/>
    </row>
    <row r="13" spans="2:11" ht="16.2" thickBot="1">
      <c r="B13" s="227"/>
      <c r="C13" s="228"/>
      <c r="D13" s="236"/>
      <c r="E13" s="79" t="s">
        <v>130</v>
      </c>
      <c r="F13" s="57">
        <v>4</v>
      </c>
      <c r="G13" s="264"/>
    </row>
    <row r="14" spans="2:11" ht="15.6">
      <c r="B14" s="225">
        <v>3</v>
      </c>
      <c r="C14" s="217" t="s">
        <v>52</v>
      </c>
      <c r="D14" s="54"/>
      <c r="E14" s="72" t="s">
        <v>131</v>
      </c>
      <c r="F14" s="58">
        <v>0</v>
      </c>
      <c r="G14" s="262" t="s">
        <v>132</v>
      </c>
      <c r="H14" s="94" t="s">
        <v>133</v>
      </c>
      <c r="I14" s="94" t="s">
        <v>134</v>
      </c>
      <c r="J14" s="94" t="s">
        <v>135</v>
      </c>
      <c r="K14" s="94" t="s">
        <v>136</v>
      </c>
    </row>
    <row r="15" spans="2:11" ht="15.6">
      <c r="B15" s="226"/>
      <c r="C15" s="201"/>
      <c r="D15" s="48"/>
      <c r="E15" s="72" t="s">
        <v>24</v>
      </c>
      <c r="F15" s="47">
        <v>1</v>
      </c>
      <c r="G15" s="263"/>
      <c r="H15" s="91">
        <v>1</v>
      </c>
      <c r="I15" s="92" t="s">
        <v>137</v>
      </c>
      <c r="J15" s="91">
        <v>5</v>
      </c>
      <c r="K15" s="91">
        <f>J15*H15</f>
        <v>5</v>
      </c>
    </row>
    <row r="16" spans="2:11" ht="15.6">
      <c r="B16" s="226"/>
      <c r="C16" s="201"/>
      <c r="D16" s="48"/>
      <c r="E16" s="72" t="s">
        <v>138</v>
      </c>
      <c r="F16" s="47">
        <v>2</v>
      </c>
      <c r="G16" s="263"/>
      <c r="H16" s="91">
        <v>2</v>
      </c>
      <c r="I16" s="93" t="s">
        <v>139</v>
      </c>
      <c r="J16" s="91">
        <v>1</v>
      </c>
      <c r="K16" s="91">
        <f t="shared" ref="K16:K17" si="0">J16*H16</f>
        <v>2</v>
      </c>
    </row>
    <row r="17" spans="2:11" ht="16.2" thickBot="1">
      <c r="B17" s="232"/>
      <c r="C17" s="202"/>
      <c r="D17" s="56"/>
      <c r="E17" s="72" t="s">
        <v>140</v>
      </c>
      <c r="F17" s="47">
        <v>3</v>
      </c>
      <c r="G17" s="263"/>
      <c r="H17" s="91">
        <v>3</v>
      </c>
      <c r="I17" s="93" t="s">
        <v>141</v>
      </c>
      <c r="J17" s="91">
        <v>1</v>
      </c>
      <c r="K17" s="91">
        <f t="shared" si="0"/>
        <v>3</v>
      </c>
    </row>
    <row r="18" spans="2:11" ht="16.2" thickBot="1">
      <c r="B18" s="227"/>
      <c r="C18" s="228"/>
      <c r="D18" s="56"/>
      <c r="E18" s="72" t="s">
        <v>142</v>
      </c>
      <c r="F18" s="59">
        <v>4</v>
      </c>
      <c r="G18" s="264"/>
      <c r="K18">
        <f>SUM(K15:K17)</f>
        <v>10</v>
      </c>
    </row>
    <row r="19" spans="2:11" ht="15.6">
      <c r="B19" s="225">
        <v>4</v>
      </c>
      <c r="C19" s="217" t="s">
        <v>26</v>
      </c>
      <c r="D19" s="235"/>
      <c r="E19" s="82" t="s">
        <v>29</v>
      </c>
      <c r="F19" s="60">
        <v>0</v>
      </c>
      <c r="G19" s="262" t="s">
        <v>143</v>
      </c>
    </row>
    <row r="20" spans="2:11" ht="15.6">
      <c r="B20" s="226"/>
      <c r="C20" s="201"/>
      <c r="D20" s="204"/>
      <c r="E20" s="83" t="s">
        <v>144</v>
      </c>
      <c r="F20" s="49">
        <v>1</v>
      </c>
      <c r="G20" s="263"/>
    </row>
    <row r="21" spans="2:11" ht="15.6">
      <c r="B21" s="226"/>
      <c r="C21" s="201"/>
      <c r="D21" s="204"/>
      <c r="E21" s="83" t="s">
        <v>145</v>
      </c>
      <c r="F21" s="49">
        <v>2</v>
      </c>
      <c r="G21" s="263"/>
    </row>
    <row r="22" spans="2:11" ht="15.6">
      <c r="B22" s="226"/>
      <c r="C22" s="201"/>
      <c r="D22" s="204"/>
      <c r="E22" s="83" t="s">
        <v>146</v>
      </c>
      <c r="F22" s="49">
        <v>3</v>
      </c>
      <c r="G22" s="263"/>
    </row>
    <row r="23" spans="2:11" ht="15.6">
      <c r="B23" s="226"/>
      <c r="C23" s="201"/>
      <c r="D23" s="48"/>
      <c r="E23" s="83" t="s">
        <v>27</v>
      </c>
      <c r="F23" s="49">
        <v>4</v>
      </c>
      <c r="G23" s="263"/>
    </row>
    <row r="24" spans="2:11" ht="15.6">
      <c r="B24" s="226"/>
      <c r="C24" s="201"/>
      <c r="D24" s="48"/>
      <c r="E24" s="83" t="s">
        <v>147</v>
      </c>
      <c r="F24" s="49">
        <v>5</v>
      </c>
      <c r="G24" s="263"/>
    </row>
    <row r="25" spans="2:11" ht="15.6">
      <c r="B25" s="226"/>
      <c r="C25" s="201"/>
      <c r="D25" s="48"/>
      <c r="E25" s="83" t="s">
        <v>148</v>
      </c>
      <c r="F25" s="49">
        <v>6</v>
      </c>
      <c r="G25" s="263"/>
    </row>
    <row r="26" spans="2:11" ht="15.6">
      <c r="B26" s="226"/>
      <c r="C26" s="201"/>
      <c r="D26" s="48"/>
      <c r="E26" s="50" t="s">
        <v>149</v>
      </c>
      <c r="F26" s="50">
        <v>7</v>
      </c>
      <c r="G26" s="263"/>
    </row>
    <row r="27" spans="2:11" ht="16.2" thickBot="1">
      <c r="B27" s="227"/>
      <c r="C27" s="228"/>
      <c r="D27" s="56"/>
      <c r="E27" s="84" t="s">
        <v>25</v>
      </c>
      <c r="F27" s="61">
        <v>8</v>
      </c>
      <c r="G27" s="264"/>
    </row>
    <row r="28" spans="2:11" ht="15.6">
      <c r="B28" s="229">
        <v>5</v>
      </c>
      <c r="C28" s="206" t="s">
        <v>150</v>
      </c>
      <c r="D28" s="206">
        <f>ROUND(1/MAX(B:B),3)</f>
        <v>5.2999999999999999E-2</v>
      </c>
      <c r="E28" s="98" t="s">
        <v>29</v>
      </c>
      <c r="F28" s="99">
        <v>0</v>
      </c>
      <c r="G28" s="209" t="s">
        <v>151</v>
      </c>
      <c r="H28" s="96"/>
    </row>
    <row r="29" spans="2:11" ht="15.6">
      <c r="B29" s="230"/>
      <c r="C29" s="207"/>
      <c r="D29" s="207"/>
      <c r="E29" s="100" t="s">
        <v>152</v>
      </c>
      <c r="F29" s="101">
        <v>1</v>
      </c>
      <c r="G29" s="210"/>
      <c r="H29" s="97"/>
    </row>
    <row r="30" spans="2:11" ht="15.6">
      <c r="B30" s="230"/>
      <c r="C30" s="207"/>
      <c r="D30" s="207"/>
      <c r="E30" s="102" t="s">
        <v>153</v>
      </c>
      <c r="F30" s="101">
        <v>2</v>
      </c>
      <c r="G30" s="210"/>
    </row>
    <row r="31" spans="2:11" ht="16.2" thickBot="1">
      <c r="B31" s="231"/>
      <c r="C31" s="208"/>
      <c r="D31" s="208"/>
      <c r="E31" s="103" t="s">
        <v>154</v>
      </c>
      <c r="F31" s="104">
        <v>4</v>
      </c>
      <c r="G31" s="211"/>
    </row>
    <row r="32" spans="2:11" ht="16.05" customHeight="1">
      <c r="B32" s="225">
        <v>6</v>
      </c>
      <c r="C32" s="217" t="s">
        <v>53</v>
      </c>
      <c r="D32" s="235">
        <v>7.6999999999999999E-2</v>
      </c>
      <c r="E32" s="81" t="s">
        <v>29</v>
      </c>
      <c r="F32" s="58">
        <v>0</v>
      </c>
      <c r="G32" s="262" t="s">
        <v>155</v>
      </c>
      <c r="H32" s="96"/>
    </row>
    <row r="33" spans="2:8" ht="15.6">
      <c r="B33" s="226"/>
      <c r="C33" s="201"/>
      <c r="D33" s="204"/>
      <c r="E33" s="73" t="s">
        <v>156</v>
      </c>
      <c r="F33" s="47">
        <v>1</v>
      </c>
      <c r="G33" s="263"/>
      <c r="H33" s="96" t="s">
        <v>157</v>
      </c>
    </row>
    <row r="34" spans="2:8" ht="15.6">
      <c r="B34" s="226"/>
      <c r="C34" s="201"/>
      <c r="D34" s="204"/>
      <c r="E34" s="74" t="s">
        <v>28</v>
      </c>
      <c r="F34" s="47">
        <v>2</v>
      </c>
      <c r="G34" s="263"/>
    </row>
    <row r="35" spans="2:8" ht="16.2" thickBot="1">
      <c r="B35" s="232"/>
      <c r="C35" s="202"/>
      <c r="D35" s="205"/>
      <c r="E35" s="74" t="s">
        <v>158</v>
      </c>
      <c r="F35" s="59">
        <v>3</v>
      </c>
      <c r="G35" s="263"/>
    </row>
    <row r="36" spans="2:8" ht="16.2" thickBot="1">
      <c r="B36" s="227"/>
      <c r="C36" s="228"/>
      <c r="D36" s="236"/>
      <c r="E36" s="80" t="s">
        <v>159</v>
      </c>
      <c r="F36" s="59">
        <v>4</v>
      </c>
      <c r="G36" s="264"/>
    </row>
    <row r="37" spans="2:8" ht="15.6">
      <c r="B37" s="225">
        <v>7</v>
      </c>
      <c r="C37" s="217" t="s">
        <v>54</v>
      </c>
      <c r="D37" s="235">
        <v>7.6999999999999999E-2</v>
      </c>
      <c r="E37" s="81" t="s">
        <v>29</v>
      </c>
      <c r="F37" s="58">
        <v>0</v>
      </c>
      <c r="G37" s="222" t="s">
        <v>160</v>
      </c>
    </row>
    <row r="38" spans="2:8" ht="20.25" customHeight="1">
      <c r="B38" s="226"/>
      <c r="C38" s="201"/>
      <c r="D38" s="204"/>
      <c r="E38" s="73" t="s">
        <v>161</v>
      </c>
      <c r="F38" s="47">
        <v>1</v>
      </c>
      <c r="G38" s="223"/>
    </row>
    <row r="39" spans="2:8" ht="22.5" customHeight="1">
      <c r="B39" s="226"/>
      <c r="C39" s="201"/>
      <c r="D39" s="204"/>
      <c r="E39" s="73" t="s">
        <v>162</v>
      </c>
      <c r="F39" s="47">
        <v>2</v>
      </c>
      <c r="G39" s="223"/>
    </row>
    <row r="40" spans="2:8" ht="123.75" customHeight="1" thickBot="1">
      <c r="B40" s="227"/>
      <c r="C40" s="228"/>
      <c r="D40" s="236"/>
      <c r="E40" s="73" t="s">
        <v>163</v>
      </c>
      <c r="F40" s="59">
        <v>3</v>
      </c>
      <c r="G40" s="224"/>
    </row>
    <row r="41" spans="2:8" ht="15.6">
      <c r="B41" s="225">
        <v>8</v>
      </c>
      <c r="C41" s="217" t="s">
        <v>164</v>
      </c>
      <c r="D41" s="235">
        <v>7.6999999999999999E-2</v>
      </c>
      <c r="E41" s="81" t="s">
        <v>29</v>
      </c>
      <c r="F41" s="58">
        <v>0</v>
      </c>
      <c r="G41" s="262" t="s">
        <v>165</v>
      </c>
    </row>
    <row r="42" spans="2:8" ht="15.6">
      <c r="B42" s="226"/>
      <c r="C42" s="201"/>
      <c r="D42" s="204"/>
      <c r="E42" s="73" t="s">
        <v>166</v>
      </c>
      <c r="F42" s="47">
        <v>1</v>
      </c>
      <c r="G42" s="263"/>
      <c r="H42" s="96"/>
    </row>
    <row r="43" spans="2:8" ht="15.6">
      <c r="B43" s="226"/>
      <c r="C43" s="201"/>
      <c r="D43" s="204"/>
      <c r="E43" s="74" t="s">
        <v>167</v>
      </c>
      <c r="F43" s="47">
        <v>2</v>
      </c>
      <c r="G43" s="263"/>
    </row>
    <row r="44" spans="2:8" ht="15.6">
      <c r="B44" s="232"/>
      <c r="C44" s="202"/>
      <c r="D44" s="205"/>
      <c r="E44" s="74" t="s">
        <v>168</v>
      </c>
      <c r="F44" s="47">
        <v>3</v>
      </c>
      <c r="G44" s="263"/>
    </row>
    <row r="45" spans="2:8" ht="16.2" thickBot="1">
      <c r="B45" s="227"/>
      <c r="C45" s="228"/>
      <c r="D45" s="236"/>
      <c r="E45" s="80" t="s">
        <v>169</v>
      </c>
      <c r="F45" s="59">
        <v>4</v>
      </c>
      <c r="G45" s="264"/>
    </row>
    <row r="46" spans="2:8" ht="15.6">
      <c r="B46" s="225">
        <v>9</v>
      </c>
      <c r="C46" s="217" t="s">
        <v>56</v>
      </c>
      <c r="D46" s="54"/>
      <c r="E46" s="81" t="s">
        <v>29</v>
      </c>
      <c r="F46" s="58">
        <v>0</v>
      </c>
      <c r="G46" s="262" t="s">
        <v>170</v>
      </c>
      <c r="H46" s="96"/>
    </row>
    <row r="47" spans="2:8" ht="15.6">
      <c r="B47" s="226"/>
      <c r="C47" s="201"/>
      <c r="D47" s="48"/>
      <c r="E47" s="73" t="s">
        <v>171</v>
      </c>
      <c r="F47" s="47">
        <v>1</v>
      </c>
      <c r="G47" s="263"/>
    </row>
    <row r="48" spans="2:8" ht="15.6">
      <c r="B48" s="226"/>
      <c r="C48" s="201"/>
      <c r="D48" s="48"/>
      <c r="E48" s="73" t="s">
        <v>172</v>
      </c>
      <c r="F48" s="47">
        <v>2</v>
      </c>
      <c r="G48" s="263"/>
    </row>
    <row r="49" spans="2:8" ht="15.6">
      <c r="B49" s="226"/>
      <c r="C49" s="201"/>
      <c r="D49" s="48"/>
      <c r="E49" s="73" t="s">
        <v>30</v>
      </c>
      <c r="F49" s="47">
        <v>3</v>
      </c>
      <c r="G49" s="263"/>
    </row>
    <row r="50" spans="2:8" ht="16.2" thickBot="1">
      <c r="B50" s="227"/>
      <c r="C50" s="228"/>
      <c r="D50" s="56"/>
      <c r="E50" s="85" t="s">
        <v>173</v>
      </c>
      <c r="F50" s="59">
        <v>4</v>
      </c>
      <c r="G50" s="264"/>
    </row>
    <row r="51" spans="2:8" ht="17.25" customHeight="1">
      <c r="B51" s="242">
        <v>10</v>
      </c>
      <c r="C51" s="239" t="s">
        <v>174</v>
      </c>
      <c r="D51" s="239">
        <v>7.6999999999999999E-2</v>
      </c>
      <c r="E51" s="105" t="s">
        <v>175</v>
      </c>
      <c r="F51" s="106">
        <v>0</v>
      </c>
      <c r="G51" s="209" t="s">
        <v>151</v>
      </c>
      <c r="H51" s="96"/>
    </row>
    <row r="52" spans="2:8" ht="15.6">
      <c r="B52" s="243"/>
      <c r="C52" s="240"/>
      <c r="D52" s="240"/>
      <c r="E52" s="107" t="s">
        <v>176</v>
      </c>
      <c r="F52" s="108">
        <v>1</v>
      </c>
      <c r="G52" s="210"/>
      <c r="H52" s="97"/>
    </row>
    <row r="53" spans="2:8" ht="15.6">
      <c r="B53" s="243"/>
      <c r="C53" s="240"/>
      <c r="D53" s="240"/>
      <c r="E53" s="107" t="s">
        <v>177</v>
      </c>
      <c r="F53" s="108">
        <v>2</v>
      </c>
      <c r="G53" s="210"/>
    </row>
    <row r="54" spans="2:8" ht="16.2" thickBot="1">
      <c r="B54" s="244"/>
      <c r="C54" s="241"/>
      <c r="D54" s="241"/>
      <c r="E54" s="109" t="s">
        <v>178</v>
      </c>
      <c r="F54" s="110">
        <v>3</v>
      </c>
      <c r="G54" s="211"/>
    </row>
    <row r="55" spans="2:8" ht="15.6">
      <c r="B55" s="225">
        <v>11</v>
      </c>
      <c r="C55" s="245" t="s">
        <v>57</v>
      </c>
      <c r="D55" s="237">
        <v>7.6999999999999999E-2</v>
      </c>
      <c r="E55" s="86" t="s">
        <v>31</v>
      </c>
      <c r="F55" s="62">
        <v>0</v>
      </c>
      <c r="G55" s="247"/>
      <c r="H55" s="96"/>
    </row>
    <row r="56" spans="2:8" ht="16.2" thickBot="1">
      <c r="B56" s="227"/>
      <c r="C56" s="246"/>
      <c r="D56" s="238"/>
      <c r="E56" s="87" t="s">
        <v>179</v>
      </c>
      <c r="F56" s="63">
        <v>4</v>
      </c>
      <c r="G56" s="249"/>
      <c r="H56" s="97"/>
    </row>
    <row r="57" spans="2:8" ht="15.6">
      <c r="B57" s="225">
        <v>12</v>
      </c>
      <c r="C57" s="217" t="s">
        <v>58</v>
      </c>
      <c r="D57" s="235">
        <v>7.6999999999999999E-2</v>
      </c>
      <c r="E57" s="81" t="s">
        <v>180</v>
      </c>
      <c r="F57" s="58">
        <v>0</v>
      </c>
      <c r="G57" s="262" t="s">
        <v>181</v>
      </c>
      <c r="H57" s="96"/>
    </row>
    <row r="58" spans="2:8" ht="15.6">
      <c r="B58" s="226"/>
      <c r="C58" s="201"/>
      <c r="D58" s="204"/>
      <c r="E58" s="73" t="s">
        <v>32</v>
      </c>
      <c r="F58" s="47">
        <v>1</v>
      </c>
      <c r="G58" s="263"/>
    </row>
    <row r="59" spans="2:8" ht="15.6">
      <c r="B59" s="226"/>
      <c r="C59" s="201"/>
      <c r="D59" s="204"/>
      <c r="E59" s="74" t="s">
        <v>182</v>
      </c>
      <c r="F59" s="47">
        <v>2</v>
      </c>
      <c r="G59" s="263"/>
    </row>
    <row r="60" spans="2:8" ht="15.6">
      <c r="B60" s="232"/>
      <c r="C60" s="202"/>
      <c r="D60" s="205"/>
      <c r="E60" s="74" t="s">
        <v>129</v>
      </c>
      <c r="F60" s="74">
        <v>3</v>
      </c>
      <c r="G60" s="263"/>
    </row>
    <row r="61" spans="2:8" ht="16.2" thickBot="1">
      <c r="B61" s="227"/>
      <c r="C61" s="228"/>
      <c r="D61" s="236"/>
      <c r="E61" s="80" t="s">
        <v>183</v>
      </c>
      <c r="F61" s="59">
        <v>4</v>
      </c>
      <c r="G61" s="264"/>
    </row>
    <row r="62" spans="2:8" ht="15.6">
      <c r="B62" s="225">
        <v>13</v>
      </c>
      <c r="C62" s="217" t="s">
        <v>184</v>
      </c>
      <c r="D62" s="235">
        <v>7.6999999999999999E-2</v>
      </c>
      <c r="E62" s="81" t="s">
        <v>185</v>
      </c>
      <c r="F62" s="58">
        <v>0</v>
      </c>
      <c r="G62" s="262" t="s">
        <v>186</v>
      </c>
      <c r="H62" s="96"/>
    </row>
    <row r="63" spans="2:8" ht="16.2" thickBot="1">
      <c r="B63" s="226"/>
      <c r="C63" s="201"/>
      <c r="D63" s="204"/>
      <c r="E63" s="74" t="s">
        <v>33</v>
      </c>
      <c r="F63" s="74">
        <v>1</v>
      </c>
      <c r="G63" s="263"/>
      <c r="H63" s="97"/>
    </row>
    <row r="64" spans="2:8" ht="16.2" thickBot="1">
      <c r="B64" s="227"/>
      <c r="C64" s="201"/>
      <c r="D64" s="236"/>
      <c r="E64" s="80" t="s">
        <v>187</v>
      </c>
      <c r="F64" s="58">
        <v>2</v>
      </c>
      <c r="G64" s="264"/>
    </row>
    <row r="65" spans="2:10" ht="15.6">
      <c r="B65" s="225">
        <v>14</v>
      </c>
      <c r="C65" s="217" t="s">
        <v>60</v>
      </c>
      <c r="D65" s="235">
        <v>7.6999999999999999E-2</v>
      </c>
      <c r="E65" s="81" t="s">
        <v>34</v>
      </c>
      <c r="F65" s="58">
        <v>0</v>
      </c>
      <c r="G65" s="262" t="s">
        <v>188</v>
      </c>
      <c r="H65" s="96"/>
    </row>
    <row r="66" spans="2:10" ht="15.6">
      <c r="B66" s="226"/>
      <c r="C66" s="201"/>
      <c r="D66" s="204"/>
      <c r="E66" s="73" t="s">
        <v>189</v>
      </c>
      <c r="F66" s="47">
        <v>1</v>
      </c>
      <c r="G66" s="263"/>
      <c r="H66" s="97"/>
    </row>
    <row r="67" spans="2:10" ht="15.6">
      <c r="B67" s="226"/>
      <c r="C67" s="201"/>
      <c r="D67" s="204"/>
      <c r="E67" s="74" t="s">
        <v>190</v>
      </c>
      <c r="F67" s="47">
        <v>2</v>
      </c>
      <c r="G67" s="263"/>
    </row>
    <row r="68" spans="2:10" ht="15.6">
      <c r="B68" s="232"/>
      <c r="C68" s="202"/>
      <c r="D68" s="205"/>
      <c r="E68" s="74" t="s">
        <v>191</v>
      </c>
      <c r="F68" s="47">
        <v>3</v>
      </c>
      <c r="G68" s="263"/>
    </row>
    <row r="69" spans="2:10" ht="16.2" thickBot="1">
      <c r="B69" s="227"/>
      <c r="C69" s="228"/>
      <c r="D69" s="236"/>
      <c r="E69" s="74" t="s">
        <v>192</v>
      </c>
      <c r="F69" s="59">
        <v>4</v>
      </c>
      <c r="G69" s="264"/>
    </row>
    <row r="70" spans="2:10" ht="15.6">
      <c r="B70" s="225">
        <v>15</v>
      </c>
      <c r="C70" s="217" t="s">
        <v>193</v>
      </c>
      <c r="D70" s="235">
        <v>7.6999999999999999E-2</v>
      </c>
      <c r="E70" s="88" t="s">
        <v>35</v>
      </c>
      <c r="F70" s="58">
        <v>0</v>
      </c>
      <c r="G70" s="247"/>
    </row>
    <row r="71" spans="2:10" ht="15.6">
      <c r="B71" s="226"/>
      <c r="C71" s="201"/>
      <c r="D71" s="204"/>
      <c r="E71" s="74" t="s">
        <v>194</v>
      </c>
      <c r="F71" s="47">
        <v>1</v>
      </c>
      <c r="G71" s="248"/>
    </row>
    <row r="72" spans="2:10" ht="15.6">
      <c r="B72" s="226"/>
      <c r="C72" s="201"/>
      <c r="D72" s="204"/>
      <c r="E72" s="74" t="s">
        <v>195</v>
      </c>
      <c r="F72" s="47">
        <v>2</v>
      </c>
      <c r="G72" s="248"/>
    </row>
    <row r="73" spans="2:10" ht="16.2" thickBot="1">
      <c r="B73" s="227"/>
      <c r="C73" s="228"/>
      <c r="D73" s="236"/>
      <c r="E73" s="80" t="s">
        <v>196</v>
      </c>
      <c r="F73" s="59">
        <v>4</v>
      </c>
      <c r="G73" s="249"/>
    </row>
    <row r="74" spans="2:10" ht="16.5" customHeight="1">
      <c r="B74" s="225">
        <v>16</v>
      </c>
      <c r="C74" s="217" t="s">
        <v>197</v>
      </c>
      <c r="D74" s="235">
        <v>7.6999999999999999E-2</v>
      </c>
      <c r="E74" s="88" t="s">
        <v>198</v>
      </c>
      <c r="F74" s="58">
        <v>0</v>
      </c>
      <c r="G74" s="247"/>
    </row>
    <row r="75" spans="2:10" ht="15.6">
      <c r="B75" s="226"/>
      <c r="C75" s="201"/>
      <c r="D75" s="204"/>
      <c r="E75" s="74" t="s">
        <v>199</v>
      </c>
      <c r="F75" s="47">
        <v>1</v>
      </c>
      <c r="G75" s="248"/>
    </row>
    <row r="76" spans="2:10" ht="15.6">
      <c r="B76" s="226"/>
      <c r="C76" s="201"/>
      <c r="D76" s="204"/>
      <c r="E76" s="74" t="s">
        <v>36</v>
      </c>
      <c r="F76" s="47">
        <v>2</v>
      </c>
      <c r="G76" s="248"/>
    </row>
    <row r="77" spans="2:10" ht="16.2" thickBot="1">
      <c r="B77" s="227"/>
      <c r="C77" s="228"/>
      <c r="D77" s="236"/>
      <c r="E77" s="80" t="s">
        <v>200</v>
      </c>
      <c r="F77" s="59">
        <v>4</v>
      </c>
      <c r="G77" s="249"/>
    </row>
    <row r="78" spans="2:10" ht="16.5" customHeight="1">
      <c r="B78" s="225">
        <v>17</v>
      </c>
      <c r="C78" s="217" t="s">
        <v>37</v>
      </c>
      <c r="D78" s="64">
        <v>7.6999999999999999E-2</v>
      </c>
      <c r="E78" s="65" t="s">
        <v>29</v>
      </c>
      <c r="F78" s="58">
        <v>0</v>
      </c>
      <c r="G78" s="250" t="s">
        <v>201</v>
      </c>
      <c r="J78" s="255"/>
    </row>
    <row r="79" spans="2:10" ht="74.25" customHeight="1" thickBot="1">
      <c r="B79" s="232"/>
      <c r="C79" s="202"/>
      <c r="D79" s="69"/>
      <c r="E79" s="89" t="s">
        <v>37</v>
      </c>
      <c r="F79" s="53">
        <v>1</v>
      </c>
      <c r="G79" s="251"/>
      <c r="J79" s="255"/>
    </row>
    <row r="80" spans="2:10" ht="15.75" customHeight="1">
      <c r="B80" s="212">
        <v>18</v>
      </c>
      <c r="C80" s="215" t="s">
        <v>202</v>
      </c>
      <c r="D80" s="218">
        <v>7.6999999999999999E-2</v>
      </c>
      <c r="E80" s="90" t="s">
        <v>29</v>
      </c>
      <c r="F80" s="70">
        <v>0</v>
      </c>
      <c r="G80" s="252"/>
      <c r="J80" s="255"/>
    </row>
    <row r="81" spans="2:10" ht="15.75" customHeight="1">
      <c r="B81" s="213"/>
      <c r="C81" s="201"/>
      <c r="D81" s="204"/>
      <c r="E81" s="74" t="s">
        <v>38</v>
      </c>
      <c r="F81" s="47">
        <v>1</v>
      </c>
      <c r="G81" s="253"/>
      <c r="J81" s="255"/>
    </row>
    <row r="82" spans="2:10" ht="15.75" customHeight="1">
      <c r="B82" s="213"/>
      <c r="C82" s="201"/>
      <c r="D82" s="204"/>
      <c r="E82" s="74" t="s">
        <v>203</v>
      </c>
      <c r="F82" s="47">
        <v>2</v>
      </c>
      <c r="G82" s="253"/>
      <c r="J82" s="255"/>
    </row>
    <row r="83" spans="2:10" ht="16.05" customHeight="1" thickBot="1">
      <c r="B83" s="214"/>
      <c r="C83" s="216"/>
      <c r="D83" s="219"/>
      <c r="E83" s="74" t="s">
        <v>204</v>
      </c>
      <c r="F83" s="71">
        <v>3</v>
      </c>
      <c r="G83" s="254"/>
      <c r="J83" s="96"/>
    </row>
    <row r="84" spans="2:10" ht="15.6">
      <c r="B84" s="212">
        <v>19</v>
      </c>
      <c r="C84" s="217" t="s">
        <v>205</v>
      </c>
      <c r="D84" s="111"/>
      <c r="E84" s="114" t="s">
        <v>29</v>
      </c>
      <c r="F84" s="117">
        <v>0</v>
      </c>
      <c r="G84" s="256" t="s">
        <v>206</v>
      </c>
      <c r="J84" s="97"/>
    </row>
    <row r="85" spans="2:10" ht="15.6">
      <c r="B85" s="213"/>
      <c r="C85" s="201"/>
      <c r="D85" s="112"/>
      <c r="E85" s="115" t="s">
        <v>207</v>
      </c>
      <c r="F85" s="118">
        <v>1</v>
      </c>
      <c r="G85" s="257"/>
    </row>
    <row r="86" spans="2:10" ht="15.6">
      <c r="B86" s="213"/>
      <c r="C86" s="201"/>
      <c r="D86" s="112"/>
      <c r="E86" s="115" t="s">
        <v>208</v>
      </c>
      <c r="F86" s="118">
        <v>2</v>
      </c>
      <c r="G86" s="257"/>
    </row>
    <row r="87" spans="2:10" ht="16.2" thickBot="1">
      <c r="B87" s="234"/>
      <c r="C87" s="202"/>
      <c r="D87" s="113"/>
      <c r="E87" s="115" t="s">
        <v>40</v>
      </c>
      <c r="F87" s="118">
        <v>3</v>
      </c>
      <c r="G87" s="257"/>
    </row>
    <row r="88" spans="2:10" ht="16.2" thickBot="1">
      <c r="B88" s="214"/>
      <c r="C88" s="228"/>
      <c r="D88" s="113"/>
      <c r="E88" s="116" t="s">
        <v>209</v>
      </c>
      <c r="F88" s="119">
        <v>4</v>
      </c>
      <c r="G88" s="258"/>
    </row>
    <row r="92" spans="2:10">
      <c r="G92" s="4"/>
      <c r="H92" s="4"/>
    </row>
    <row r="93" spans="2:10">
      <c r="G93" s="4"/>
      <c r="H93" s="4"/>
    </row>
    <row r="94" spans="2:10">
      <c r="G94" s="4"/>
      <c r="H94" s="4"/>
    </row>
    <row r="95" spans="2:10">
      <c r="G95" s="4"/>
      <c r="H95" s="4"/>
    </row>
    <row r="96" spans="2:10">
      <c r="G96" s="4"/>
      <c r="H96" s="4"/>
    </row>
    <row r="97" spans="7:8">
      <c r="G97" s="4"/>
      <c r="H97" s="4"/>
    </row>
    <row r="98" spans="7:8">
      <c r="G98" s="4"/>
      <c r="H98" s="4"/>
    </row>
    <row r="99" spans="7:8">
      <c r="G99" s="4"/>
      <c r="H99" s="4"/>
    </row>
    <row r="100" spans="7:8">
      <c r="G100" s="4"/>
      <c r="H100" s="4"/>
    </row>
    <row r="101" spans="7:8">
      <c r="G101" s="4"/>
      <c r="H101" s="4"/>
    </row>
    <row r="102" spans="7:8">
      <c r="G102" s="4"/>
      <c r="H102" s="4"/>
    </row>
    <row r="103" spans="7:8">
      <c r="G103" s="4"/>
      <c r="H103" s="4"/>
    </row>
    <row r="104" spans="7:8">
      <c r="G104" s="4"/>
      <c r="H104" s="4"/>
    </row>
  </sheetData>
  <mergeCells count="74">
    <mergeCell ref="G78:G79"/>
    <mergeCell ref="G80:G83"/>
    <mergeCell ref="J78:J82"/>
    <mergeCell ref="G84:G88"/>
    <mergeCell ref="G4:G8"/>
    <mergeCell ref="G9:G13"/>
    <mergeCell ref="G14:G18"/>
    <mergeCell ref="G19:G27"/>
    <mergeCell ref="G32:G36"/>
    <mergeCell ref="G41:G45"/>
    <mergeCell ref="G46:G50"/>
    <mergeCell ref="G55:G56"/>
    <mergeCell ref="G57:G61"/>
    <mergeCell ref="G62:G64"/>
    <mergeCell ref="G65:G69"/>
    <mergeCell ref="G70:G73"/>
    <mergeCell ref="G74:G77"/>
    <mergeCell ref="D74:D77"/>
    <mergeCell ref="D70:D73"/>
    <mergeCell ref="D65:D69"/>
    <mergeCell ref="D62:D64"/>
    <mergeCell ref="C65:C69"/>
    <mergeCell ref="B51:B54"/>
    <mergeCell ref="C84:C88"/>
    <mergeCell ref="B84:B88"/>
    <mergeCell ref="B74:B77"/>
    <mergeCell ref="B55:B56"/>
    <mergeCell ref="B57:B61"/>
    <mergeCell ref="B62:B64"/>
    <mergeCell ref="B65:B69"/>
    <mergeCell ref="B70:B73"/>
    <mergeCell ref="C74:C77"/>
    <mergeCell ref="C70:C73"/>
    <mergeCell ref="C62:C64"/>
    <mergeCell ref="B78:B79"/>
    <mergeCell ref="C55:C56"/>
    <mergeCell ref="C57:C61"/>
    <mergeCell ref="D55:D56"/>
    <mergeCell ref="D57:D61"/>
    <mergeCell ref="B14:B18"/>
    <mergeCell ref="D19:D22"/>
    <mergeCell ref="D28:D31"/>
    <mergeCell ref="C32:C36"/>
    <mergeCell ref="C37:C40"/>
    <mergeCell ref="D32:D36"/>
    <mergeCell ref="B32:B36"/>
    <mergeCell ref="B37:B40"/>
    <mergeCell ref="D51:D54"/>
    <mergeCell ref="D41:D45"/>
    <mergeCell ref="D37:D40"/>
    <mergeCell ref="C51:C54"/>
    <mergeCell ref="C41:C45"/>
    <mergeCell ref="B41:B45"/>
    <mergeCell ref="B80:B83"/>
    <mergeCell ref="C80:C83"/>
    <mergeCell ref="C78:C79"/>
    <mergeCell ref="D80:D83"/>
    <mergeCell ref="B2:G2"/>
    <mergeCell ref="G37:G40"/>
    <mergeCell ref="B46:B50"/>
    <mergeCell ref="C46:C50"/>
    <mergeCell ref="C14:C18"/>
    <mergeCell ref="B19:B27"/>
    <mergeCell ref="C19:C27"/>
    <mergeCell ref="B28:B31"/>
    <mergeCell ref="B9:B13"/>
    <mergeCell ref="B4:B8"/>
    <mergeCell ref="C9:C13"/>
    <mergeCell ref="D9:D13"/>
    <mergeCell ref="C4:C8"/>
    <mergeCell ref="D4:D8"/>
    <mergeCell ref="C28:C31"/>
    <mergeCell ref="G28:G31"/>
    <mergeCell ref="G51:G54"/>
  </mergeCells>
  <pageMargins left="0.7" right="0.7" top="0.75" bottom="0.75" header="0.3" footer="0.3"/>
  <pageSetup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66de48-01ad-4f7e-bed1-0d7449a53604">
      <Terms xmlns="http://schemas.microsoft.com/office/infopath/2007/PartnerControls"/>
    </lcf76f155ced4ddcb4097134ff3c332f>
    <_ip_UnifiedCompliancePolicyUIAction xmlns="http://schemas.microsoft.com/sharepoint/v3" xsi:nil="true"/>
    <IconOverlay xmlns="http://schemas.microsoft.com/sharepoint/v4" xsi:nil="true"/>
    <TaxCatchAll xmlns="1696a1bc-c54a-4d1d-be6d-f5646f3c4b54"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1A32777A47B40B66342828527C7BC" ma:contentTypeVersion="23" ma:contentTypeDescription="Create a new document." ma:contentTypeScope="" ma:versionID="1ae53e0d53f6e48a23874a2505249aca">
  <xsd:schema xmlns:xsd="http://www.w3.org/2001/XMLSchema" xmlns:xs="http://www.w3.org/2001/XMLSchema" xmlns:p="http://schemas.microsoft.com/office/2006/metadata/properties" xmlns:ns1="http://schemas.microsoft.com/sharepoint/v3" xmlns:ns2="1696a1bc-c54a-4d1d-be6d-f5646f3c4b54" xmlns:ns3="d766de48-01ad-4f7e-bed1-0d7449a53604" xmlns:ns4="http://schemas.microsoft.com/sharepoint/v4" targetNamespace="http://schemas.microsoft.com/office/2006/metadata/properties" ma:root="true" ma:fieldsID="239141bea92674656197002a3b0323c6" ns1:_="" ns2:_="" ns3:_="" ns4:_="">
    <xsd:import namespace="http://schemas.microsoft.com/sharepoint/v3"/>
    <xsd:import namespace="1696a1bc-c54a-4d1d-be6d-f5646f3c4b54"/>
    <xsd:import namespace="d766de48-01ad-4f7e-bed1-0d7449a53604"/>
    <xsd:import namespace="http://schemas.microsoft.com/sharepoint/v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4:IconOverlay"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6a1bc-c54a-4d1d-be6d-f5646f3c4b5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cc2f7af-489b-43fb-a123-49b833772298}" ma:internalName="TaxCatchAll" ma:showField="CatchAllData" ma:web="1696a1bc-c54a-4d1d-be6d-f5646f3c4b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66de48-01ad-4f7e-bed1-0d7449a536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967DCC-1703-4F80-9193-F5361B2BD214}">
  <ds:schemaRefs>
    <ds:schemaRef ds:uri="http://schemas.microsoft.com/sharepoint/v3/contenttype/forms"/>
  </ds:schemaRefs>
</ds:datastoreItem>
</file>

<file path=customXml/itemProps2.xml><?xml version="1.0" encoding="utf-8"?>
<ds:datastoreItem xmlns:ds="http://schemas.openxmlformats.org/officeDocument/2006/customXml" ds:itemID="{55EB863A-5BEF-4A62-B23B-3610CA0A2CE1}">
  <ds:schemaRefs>
    <ds:schemaRef ds:uri="http://purl.org/dc/terms/"/>
    <ds:schemaRef ds:uri="http://purl.org/dc/elements/1.1/"/>
    <ds:schemaRef ds:uri="0734534c-2120-493b-9592-1ac95a051e3b"/>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A916418-C689-4486-A1D4-D5D63E43E219}"/>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Overview</vt:lpstr>
      <vt:lpstr>Complexity Summary</vt:lpstr>
      <vt:lpstr>TaskList</vt:lpstr>
      <vt:lpstr>Extension_Config</vt:lpstr>
      <vt:lpstr>Assumptions</vt:lpstr>
      <vt:lpstr>Queries</vt:lpstr>
      <vt:lpstr>Rules</vt:lpstr>
      <vt:lpstr>Rules!Environment_rediness_for_Dev_QA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Alampalli Chalikkandi, Baiju Mohan</dc:creator>
  <cp:keywords/>
  <dc:description/>
  <cp:lastModifiedBy>Kuderella, Sruthilaya</cp:lastModifiedBy>
  <cp:revision/>
  <dcterms:created xsi:type="dcterms:W3CDTF">2018-10-16T11:00:10Z</dcterms:created>
  <dcterms:modified xsi:type="dcterms:W3CDTF">2026-04-23T08:59:44Z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0x01010063B1A32777A47B40B66342828527C7BC</vt:lpwstr>
  </property>
  <property fmtid="{D5CDD505-2E9C-101B-9397-08002B2CF9AE}" pid="3" name="WorkbookGuid">
    <vt:lpwstr>77dd0aa6-a18a-405e-b494-d2648b765e1c</vt:lpwstr>
  </property>
  <property fmtid="{D5CDD505-2E9C-101B-9397-08002B2CF9AE}" pid="4" name="MediaServiceImageTags">
    <vt:lpwstr/>
  </property>
</Properties>
</file>